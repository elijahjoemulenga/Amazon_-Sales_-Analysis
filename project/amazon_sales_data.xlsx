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LAPTOP\Desktop\project\"/>
    </mc:Choice>
  </mc:AlternateContent>
  <xr:revisionPtr revIDLastSave="0" documentId="13_ncr:1_{D753ECC8-E4DC-44C3-ACD5-6F7E1803E875}" xr6:coauthVersionLast="47" xr6:coauthVersionMax="47" xr10:uidLastSave="{00000000-0000-0000-0000-000000000000}"/>
  <bookViews>
    <workbookView xWindow="-110" yWindow="-110" windowWidth="19420" windowHeight="10300" tabRatio="697" activeTab="3" xr2:uid="{906AFB0B-5589-40D2-B7F4-8600BFAA618F}"/>
  </bookViews>
  <sheets>
    <sheet name="raw_amazon_sales_data" sheetId="1" r:id="rId1"/>
    <sheet name="Analyzed_Amazon_Sales_data" sheetId="2" r:id="rId2"/>
    <sheet name="descriptive stats" sheetId="5" r:id="rId3"/>
    <sheet name="pivot tables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6" i="2" l="1"/>
  <c r="J274" i="2"/>
  <c r="J263" i="2"/>
  <c r="J115" i="2"/>
  <c r="J194" i="2"/>
  <c r="J82" i="2"/>
  <c r="J180" i="2"/>
  <c r="J253" i="2"/>
  <c r="J16" i="2"/>
  <c r="J67" i="2"/>
  <c r="J38" i="2"/>
  <c r="J89" i="2"/>
  <c r="J95" i="2"/>
  <c r="J251" i="2"/>
  <c r="J119" i="2"/>
  <c r="J104" i="2"/>
  <c r="J285" i="2"/>
  <c r="J36" i="2"/>
  <c r="J167" i="2"/>
  <c r="J257" i="2"/>
  <c r="J186" i="2"/>
  <c r="J142" i="2"/>
  <c r="J90" i="2"/>
  <c r="J84" i="2"/>
  <c r="J168" i="2"/>
  <c r="J162" i="2"/>
  <c r="J80" i="2"/>
  <c r="J149" i="2"/>
  <c r="J184" i="2"/>
  <c r="J286" i="2"/>
  <c r="J271" i="2"/>
  <c r="J231" i="2"/>
  <c r="J152" i="2"/>
  <c r="J139" i="2"/>
  <c r="J14" i="2"/>
  <c r="J46" i="2"/>
  <c r="J190" i="2"/>
  <c r="J209" i="2"/>
  <c r="J135" i="2"/>
  <c r="J32" i="2"/>
  <c r="J267" i="2"/>
  <c r="J200" i="2"/>
  <c r="J134" i="2"/>
  <c r="J106" i="2"/>
  <c r="J128" i="2"/>
  <c r="J40" i="2"/>
  <c r="J303" i="2"/>
  <c r="J57" i="2"/>
  <c r="J178" i="2"/>
  <c r="J145" i="2"/>
  <c r="J47" i="2"/>
  <c r="J201" i="2"/>
  <c r="J54" i="2"/>
  <c r="J199" i="2"/>
  <c r="J252" i="2"/>
  <c r="J34" i="2"/>
  <c r="J293" i="2"/>
  <c r="J44" i="2"/>
  <c r="J171" i="2"/>
  <c r="J202" i="2"/>
  <c r="J56" i="2"/>
  <c r="J188" i="2"/>
  <c r="J23" i="2"/>
  <c r="J105" i="2"/>
  <c r="J276" i="2"/>
  <c r="J301" i="2"/>
  <c r="J69" i="2"/>
  <c r="J204" i="2"/>
  <c r="J127" i="2"/>
  <c r="J266" i="2"/>
  <c r="J272" i="2"/>
  <c r="J41" i="2"/>
  <c r="J275" i="2"/>
  <c r="J198" i="2"/>
  <c r="J268" i="2"/>
  <c r="J197" i="2"/>
  <c r="J193" i="2"/>
  <c r="J114" i="2"/>
  <c r="J247" i="2"/>
  <c r="J173" i="2"/>
  <c r="J233" i="2"/>
  <c r="J230" i="2"/>
  <c r="J264" i="2"/>
  <c r="J205" i="2"/>
  <c r="J159" i="2"/>
  <c r="J289" i="2"/>
  <c r="J117" i="2"/>
  <c r="J164" i="2"/>
  <c r="J121" i="2"/>
  <c r="J141" i="2"/>
  <c r="J183" i="2"/>
  <c r="J120" i="2"/>
  <c r="J295" i="2"/>
  <c r="J50" i="2"/>
  <c r="J279" i="2"/>
  <c r="J172" i="2"/>
  <c r="J3" i="2"/>
  <c r="J218" i="2"/>
  <c r="J196" i="2"/>
  <c r="J239" i="2"/>
  <c r="J175" i="2"/>
  <c r="J297" i="2"/>
  <c r="J227" i="2"/>
  <c r="J78" i="2"/>
  <c r="J20" i="2"/>
  <c r="J86" i="2"/>
  <c r="J71" i="2"/>
  <c r="J15" i="2"/>
  <c r="J66" i="2"/>
  <c r="J222" i="2"/>
  <c r="J72" i="2"/>
  <c r="J79" i="2"/>
  <c r="J93" i="2"/>
  <c r="J192" i="2"/>
  <c r="J147" i="2"/>
  <c r="J31" i="2"/>
  <c r="J220" i="2"/>
  <c r="J187" i="2"/>
  <c r="J59" i="2"/>
  <c r="J48" i="2"/>
  <c r="J226" i="2"/>
  <c r="J28" i="2"/>
  <c r="J64" i="2"/>
  <c r="J136" i="2"/>
  <c r="J299" i="2"/>
  <c r="J96" i="2"/>
  <c r="J76" i="2"/>
  <c r="J206" i="2"/>
  <c r="J2" i="2"/>
  <c r="J156" i="2"/>
  <c r="J287" i="2"/>
  <c r="J4" i="2"/>
  <c r="J11" i="2"/>
  <c r="J26" i="2"/>
  <c r="J281" i="2"/>
  <c r="J154" i="2"/>
  <c r="J144" i="2"/>
  <c r="J225" i="2"/>
  <c r="J219" i="2"/>
  <c r="J27" i="2"/>
  <c r="J282" i="2"/>
  <c r="J291" i="2"/>
  <c r="J177" i="2"/>
  <c r="J75" i="2"/>
  <c r="J248" i="2"/>
  <c r="J60" i="2"/>
  <c r="J109" i="2"/>
  <c r="J302" i="2"/>
  <c r="J300" i="2"/>
  <c r="J91" i="2"/>
  <c r="J30" i="2"/>
  <c r="J203" i="2"/>
  <c r="J13" i="2"/>
  <c r="J217" i="2"/>
  <c r="J33" i="2"/>
  <c r="J5" i="2"/>
  <c r="J224" i="2"/>
  <c r="J228" i="2"/>
  <c r="J234" i="2"/>
  <c r="J118" i="2"/>
  <c r="J146" i="2"/>
  <c r="J211" i="2"/>
  <c r="J22" i="2"/>
  <c r="J212" i="2"/>
  <c r="J143" i="2"/>
  <c r="J238" i="2"/>
  <c r="J12" i="2"/>
  <c r="J18" i="2"/>
  <c r="J74" i="2"/>
  <c r="J10" i="2"/>
  <c r="J261" i="2"/>
  <c r="J158" i="2"/>
  <c r="J17" i="2"/>
  <c r="J8" i="2"/>
  <c r="J101" i="2"/>
  <c r="J35" i="2"/>
  <c r="J223" i="2"/>
  <c r="J215" i="2"/>
  <c r="J270" i="2"/>
  <c r="J85" i="2"/>
  <c r="J25" i="2"/>
  <c r="J213" i="2"/>
  <c r="J103" i="2"/>
  <c r="J99" i="2"/>
  <c r="J296" i="2"/>
  <c r="J242" i="2"/>
  <c r="J68" i="2"/>
  <c r="J122" i="2"/>
  <c r="J221" i="2"/>
  <c r="J165" i="2"/>
  <c r="J153" i="2"/>
  <c r="J277" i="2"/>
  <c r="J244" i="2"/>
  <c r="J255" i="2"/>
  <c r="J102" i="2"/>
  <c r="J88" i="2"/>
  <c r="J97" i="2"/>
  <c r="J245" i="2"/>
  <c r="J265" i="2"/>
  <c r="J207" i="2"/>
  <c r="J290" i="2"/>
  <c r="J237" i="2"/>
  <c r="J137" i="2"/>
  <c r="J77" i="2"/>
  <c r="J260" i="2"/>
  <c r="J161" i="2"/>
  <c r="J174" i="2"/>
  <c r="J7" i="2"/>
  <c r="J6" i="2"/>
  <c r="J133" i="2"/>
  <c r="J24" i="2"/>
  <c r="J214" i="2"/>
  <c r="J256" i="2"/>
  <c r="J42" i="2"/>
  <c r="J181" i="2"/>
  <c r="J259" i="2"/>
  <c r="J191" i="2"/>
  <c r="J258" i="2"/>
  <c r="J37" i="2"/>
  <c r="J140" i="2"/>
  <c r="J148" i="2"/>
  <c r="J62" i="2"/>
  <c r="J216" i="2"/>
  <c r="J111" i="2"/>
  <c r="J229" i="2"/>
  <c r="J292" i="2"/>
  <c r="J65" i="2"/>
  <c r="J232" i="2"/>
  <c r="J150" i="2"/>
  <c r="J249" i="2"/>
  <c r="J278" i="2"/>
  <c r="J195" i="2"/>
  <c r="J19" i="2"/>
  <c r="J208" i="2"/>
  <c r="J166" i="2"/>
  <c r="J58" i="2"/>
  <c r="J189" i="2"/>
  <c r="J160" i="2"/>
  <c r="J241" i="2"/>
  <c r="J116" i="2"/>
  <c r="J129" i="2"/>
  <c r="J123" i="2"/>
  <c r="J151" i="2"/>
  <c r="J100" i="2"/>
  <c r="J110" i="2"/>
  <c r="J87" i="2"/>
  <c r="J70" i="2"/>
  <c r="J132" i="2"/>
  <c r="J157" i="2"/>
  <c r="J83" i="2"/>
  <c r="J124" i="2"/>
  <c r="J298" i="2"/>
  <c r="J243" i="2"/>
  <c r="J182" i="2"/>
  <c r="J39" i="2"/>
  <c r="J179" i="2"/>
  <c r="J21" i="2"/>
  <c r="J43" i="2"/>
  <c r="J273" i="2"/>
  <c r="J210" i="2"/>
  <c r="J250" i="2"/>
  <c r="J170" i="2"/>
  <c r="J288" i="2"/>
  <c r="J73" i="2"/>
  <c r="J280" i="2"/>
  <c r="J113" i="2"/>
  <c r="J53" i="2"/>
  <c r="J163" i="2"/>
  <c r="J283" i="2"/>
  <c r="J131" i="2"/>
  <c r="J138" i="2"/>
  <c r="J51" i="2"/>
  <c r="J269" i="2"/>
  <c r="J240" i="2"/>
  <c r="J63" i="2"/>
  <c r="J94" i="2"/>
  <c r="J52" i="2"/>
  <c r="J169" i="2"/>
  <c r="J294" i="2"/>
  <c r="J284" i="2"/>
  <c r="J235" i="2"/>
  <c r="J29" i="2"/>
  <c r="J108" i="2"/>
  <c r="J155" i="2"/>
  <c r="J246" i="2"/>
  <c r="J176" i="2"/>
  <c r="J130" i="2"/>
  <c r="J254" i="2"/>
  <c r="J125" i="2"/>
  <c r="J112" i="2"/>
  <c r="J49" i="2"/>
  <c r="J9" i="2"/>
  <c r="J236" i="2"/>
  <c r="J107" i="2"/>
  <c r="J45" i="2"/>
  <c r="J92" i="2"/>
  <c r="J81" i="2"/>
  <c r="J55" i="2"/>
  <c r="J61" i="2"/>
  <c r="J262" i="2"/>
  <c r="J185" i="2"/>
  <c r="J98" i="2"/>
  <c r="J304" i="2" l="1"/>
</calcChain>
</file>

<file path=xl/sharedStrings.xml><?xml version="1.0" encoding="utf-8"?>
<sst xmlns="http://schemas.openxmlformats.org/spreadsheetml/2006/main" count="3104" uniqueCount="58">
  <si>
    <t>Product_ID</t>
  </si>
  <si>
    <t>Sale_Date</t>
  </si>
  <si>
    <t>Sales_Rep</t>
  </si>
  <si>
    <t>Product_Category</t>
  </si>
  <si>
    <t>Customer_Type</t>
  </si>
  <si>
    <t>Payment_Method</t>
  </si>
  <si>
    <t>Sales_Channel</t>
  </si>
  <si>
    <t>Quantity_Sold</t>
  </si>
  <si>
    <t>Unit_Price</t>
  </si>
  <si>
    <t>Bob</t>
  </si>
  <si>
    <t>Furniture</t>
  </si>
  <si>
    <t>Returning</t>
  </si>
  <si>
    <t>Cash</t>
  </si>
  <si>
    <t>Retail</t>
  </si>
  <si>
    <t>David</t>
  </si>
  <si>
    <t>Food</t>
  </si>
  <si>
    <t>Bank Transfer</t>
  </si>
  <si>
    <t>Eve</t>
  </si>
  <si>
    <t>Alice</t>
  </si>
  <si>
    <t>Charlie</t>
  </si>
  <si>
    <t>Credit Card</t>
  </si>
  <si>
    <t>Clothing</t>
  </si>
  <si>
    <t>Electronics</t>
  </si>
  <si>
    <t>Online</t>
  </si>
  <si>
    <t>New</t>
  </si>
  <si>
    <t/>
  </si>
  <si>
    <t>Revenue</t>
  </si>
  <si>
    <t>Mean</t>
  </si>
  <si>
    <t>Standard Error</t>
  </si>
  <si>
    <t>Median</t>
  </si>
  <si>
    <t>Standard Deviation</t>
  </si>
  <si>
    <t>Sample Variance</t>
  </si>
  <si>
    <t>Range</t>
  </si>
  <si>
    <t>Minimum</t>
  </si>
  <si>
    <t>Maximum</t>
  </si>
  <si>
    <t>Sum</t>
  </si>
  <si>
    <t>Count</t>
  </si>
  <si>
    <t>GRANDTOTAL</t>
  </si>
  <si>
    <t>Price</t>
  </si>
  <si>
    <t>revenue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</si>
  <si>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</si>
  <si>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</si>
  <si>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</si>
  <si>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</si>
  <si>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</si>
  <si>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</si>
  <si>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</si>
  <si>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</si>
  <si>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</si>
  <si>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</si>
  <si>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</si>
  <si>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</si>
  <si>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</si>
  <si>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</si>
  <si>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Sum of Revenue</t>
  </si>
  <si>
    <t>monthly revenue</t>
  </si>
  <si>
    <t>Sales Rep performance</t>
  </si>
  <si>
    <t>Products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</si>
</sst>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,##0.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1" fontId="4" fillId="0" borderId="0" xfId="0" applyNumberFormat="1" applyFont="1"/>
    <xf numFmtId="14" fontId="4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35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64" formatCode="&quot;K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64" formatCode="&quot;K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64" formatCode="&quot;K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64" formatCode="&quot;K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jah Joe" refreshedDate="46031.024064583333" createdVersion="8" refreshedVersion="8" minRefreshableVersion="3" recordCount="302" xr:uid="{B32320C1-18E4-4791-844B-481C89159772}">
  <cacheSource type="worksheet">
    <worksheetSource name="Table1"/>
  </cacheSource>
  <cacheFields count="12">
    <cacheField name="Product_ID" numFmtId="1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1T00:00:00" count="193">
        <d v="2023-06-08T00:00:00"/>
        <d v="2023-03-16T00:00:00"/>
        <d v="2023-06-22T00:00:00"/>
        <d v="2023-06-29T00:00:00"/>
        <d v="2023-10-30T00:00:00"/>
        <d v="2023-08-31T00:00:00"/>
        <d v="2023-05-22T00:00:00"/>
        <d v="2023-12-10T00:00:00"/>
        <d v="2023-11-07T00:00:00"/>
        <d v="2023-05-10T00:00:00"/>
        <d v="2023-10-04T00:00:00"/>
        <d v="2023-01-17T00:00:00"/>
        <d v="2023-10-23T00:00:00"/>
        <d v="2023-01-01T00:00:00"/>
        <d v="2023-07-13T00:00:00"/>
        <d v="2023-01-20T00:00:00"/>
        <d v="2023-12-16T00:00:00"/>
        <d v="2023-01-06T00:00:00"/>
        <d v="2023-10-27T00:00:00"/>
        <d v="2023-06-14T00:00:00"/>
        <d v="2023-08-24T00:00:00"/>
        <d v="2023-12-12T00:00:00"/>
        <d v="2023-04-14T00:00:00"/>
        <d v="2023-05-17T00:00:00"/>
        <d v="2023-04-25T00:00:00"/>
        <d v="2023-07-29T00:00:00"/>
        <d v="2023-06-28T00:00:00"/>
        <d v="2023-05-13T00:00:00"/>
        <d v="2023-03-31T00:00:00"/>
        <d v="2023-12-15T00:00:00"/>
        <d v="2023-02-08T00:00:00"/>
        <d v="2023-06-01T00:00:00"/>
        <d v="2023-05-21T00:00:00"/>
        <d v="2023-09-16T00:00:00"/>
        <d v="2023-05-18T00:00:00"/>
        <d v="2023-07-01T00:00:00"/>
        <d v="2023-07-22T00:00:00"/>
        <d v="2023-07-15T00:00:00"/>
        <d v="2023-10-12T00:00:00"/>
        <d v="2023-06-20T00:00:00"/>
        <d v="2023-03-03T00:00:00"/>
        <d v="2023-10-20T00:00:00"/>
        <d v="2023-06-26T00:00:00"/>
        <d v="2023-10-15T00:00:00"/>
        <d v="2023-10-26T00:00:00"/>
        <d v="2023-10-21T00:00:00"/>
        <d v="2023-08-04T00:00:00"/>
        <d v="2023-11-26T00:00:00"/>
        <d v="2023-03-27T00:00:00"/>
        <d v="2023-05-14T00:00:00"/>
        <d v="2023-11-23T00:00:00"/>
        <d v="2023-08-02T00:00:00"/>
        <d v="2023-12-31T00:00:00"/>
        <d v="2023-01-23T00:00:00"/>
        <d v="2023-04-20T00:00:00"/>
        <d v="2023-09-14T00:00:00"/>
        <d v="2023-09-08T00:00:00"/>
        <d v="2023-04-05T00:00:00"/>
        <d v="2023-02-11T00:00:00"/>
        <d v="2023-03-25T00:00:00"/>
        <d v="2023-12-01T00:00:00"/>
        <d v="2023-09-24T00:00:00"/>
        <d v="2023-02-07T00:00:00"/>
        <d v="2023-10-02T00:00:00"/>
        <d v="2023-01-10T00:00:00"/>
        <d v="2023-04-28T00:00:00"/>
        <d v="2023-01-15T00:00:00"/>
        <d v="2023-03-17T00:00:00"/>
        <d v="2023-12-26T00:00:00"/>
        <d v="2023-09-04T00:00:00"/>
        <d v="2023-06-10T00:00:00"/>
        <d v="2023-04-04T00:00:00"/>
        <d v="2023-04-23T00:00:00"/>
        <d v="2023-12-19T00:00:00"/>
        <d v="2023-11-20T00:00:00"/>
        <d v="2023-09-22T00:00:00"/>
        <d v="2023-04-27T00:00:00"/>
        <d v="2023-12-08T00:00:00"/>
        <d v="2023-04-11T00:00:00"/>
        <d v="2023-09-11T00:00:00"/>
        <d v="2023-07-31T00:00:00"/>
        <d v="2023-05-03T00:00:00"/>
        <d v="2023-05-25T00:00:00"/>
        <d v="2023-01-18T00:00:00"/>
        <d v="2023-03-01T00:00:00"/>
        <d v="2023-11-29T00:00:00"/>
        <d v="2023-10-22T00:00:00"/>
        <d v="2023-05-19T00:00:00"/>
        <d v="2023-11-09T00:00:00"/>
        <d v="2023-08-19T00:00:00"/>
        <d v="2023-05-30T00:00:00"/>
        <d v="2023-04-16T00:00:00"/>
        <d v="2023-02-24T00:00:00"/>
        <d v="2023-08-13T00:00:00"/>
        <d v="2023-01-25T00:00:00"/>
        <d v="2023-04-07T00:00:00"/>
        <d v="2023-02-18T00:00:00"/>
        <d v="2023-11-14T00:00:00"/>
        <d v="2023-02-09T00:00:00"/>
        <d v="2023-12-27T00:00:00"/>
        <d v="2023-02-16T00:00:00"/>
        <d v="2023-11-27T00:00:00"/>
        <d v="2023-09-18T00:00:00"/>
        <d v="2023-09-01T00:00:00"/>
        <d v="2023-04-21T00:00:00"/>
        <d v="2023-06-06T00:00:00"/>
        <d v="2023-08-17T00:00:00"/>
        <d v="2023-11-05T00:00:00"/>
        <d v="2023-08-06T00:00:00"/>
        <d v="2023-10-16T00:00:00"/>
        <d v="2023-08-16T00:00:00"/>
        <d v="2023-06-03T00:00:00"/>
        <d v="2023-07-17T00:00:00"/>
        <d v="2023-11-17T00:00:00"/>
        <d v="2023-03-10T00:00:00"/>
        <d v="2023-10-19T00:00:00"/>
        <d v="2023-11-30T00:00:00"/>
        <d v="2023-03-04T00:00:00"/>
        <d v="2023-09-27T00:00:00"/>
        <d v="2023-02-01T00:00:00"/>
        <d v="2023-11-22T00:00:00"/>
        <d v="2023-08-25T00:00:00"/>
        <d v="2023-05-12T00:00:00"/>
        <d v="2023-10-10T00:00:00"/>
        <d v="2023-10-14T00:00:00"/>
        <d v="2023-12-22T00:00:00"/>
        <d v="2023-01-04T00:00:00"/>
        <d v="2023-08-14T00:00:00"/>
        <d v="2023-10-18T00:00:00"/>
        <d v="2023-10-09T00:00:00"/>
        <d v="2023-01-13T00:00:00"/>
        <d v="2023-05-23T00:00:00"/>
        <d v="2023-04-02T00:00:00"/>
        <d v="2023-08-08T00:00:00"/>
        <d v="2023-08-03T00:00:00"/>
        <d v="2023-05-29T00:00:00"/>
        <d v="2023-05-07T00:00:00"/>
        <d v="2023-07-03T00:00:00"/>
        <d v="2023-11-16T00:00:00"/>
        <d v="2023-08-11T00:00:00"/>
        <d v="2023-11-24T00:00:00"/>
        <d v="2023-11-01T00:00:00"/>
        <d v="2023-03-11T00:00:00"/>
        <d v="2023-10-13T00:00:00"/>
        <d v="2023-05-24T00:00:00"/>
        <d v="2023-01-05T00:00:00"/>
        <d v="2023-04-22T00:00:00"/>
        <d v="2023-01-29T00:00:00"/>
        <d v="2023-07-08T00:00:00"/>
        <d v="2023-01-11T00:00:00"/>
        <d v="2023-12-13T00:00:00"/>
        <d v="2023-01-19T00:00:00"/>
        <d v="2023-05-05T00:00:00"/>
        <d v="2023-01-14T00:00:00"/>
        <d v="2023-02-04T00:00:00"/>
        <d v="2023-11-25T00:00:00"/>
        <d v="2023-07-19T00:00:00"/>
        <d v="2023-11-12T00:00:00"/>
        <d v="2023-06-21T00:00:00"/>
        <d v="2023-05-28T00:00:00"/>
        <d v="2023-01-26T00:00:00"/>
        <d v="2023-06-05T00:00:00"/>
        <d v="2023-03-19T00:00:00"/>
        <d v="2023-12-03T00:00:00"/>
        <d v="2023-10-29T00:00:00"/>
        <d v="2023-11-28T00:00:00"/>
        <d v="2023-03-30T00:00:00"/>
        <d v="2023-08-12T00:00:00"/>
        <d v="2023-06-07T00:00:00"/>
        <d v="2023-05-20T00:00:00"/>
        <d v="2023-12-29T00:00:00"/>
        <d v="2023-11-18T00:00:00"/>
        <d v="2023-06-17T00:00:00"/>
        <d v="2023-10-24T00:00:00"/>
        <d v="2023-02-20T00:00:00"/>
        <d v="2023-05-16T00:00:00"/>
        <d v="2023-02-05T00:00:00"/>
        <d v="2023-07-30T00:00:00"/>
        <d v="2023-11-11T00:00:00"/>
        <d v="2023-05-08T00:00:00"/>
        <d v="2023-09-30T00:00:00"/>
        <d v="2023-12-05T00:00:00"/>
        <d v="2023-12-30T00:00:00"/>
        <d v="2023-09-21T00:00:00"/>
        <d v="2023-03-24T00:00:00"/>
        <d v="2023-01-31T00:00:00"/>
        <d v="2023-03-08T00:00:00"/>
        <d v="2023-06-27T00:00:00"/>
        <d v="2023-08-01T00:00:00"/>
        <d v="2023-06-02T00:00:00"/>
        <d v="2023-02-03T00:00:00"/>
        <d v="2023-11-15T00:00:00"/>
        <d v="2023-07-21T00:00:00"/>
      </sharedItems>
      <fieldGroup par="11"/>
    </cacheField>
    <cacheField name="Sales_Rep" numFmtId="0">
      <sharedItems count="5">
        <s v="Eve"/>
        <s v="David"/>
        <s v="Alice"/>
        <s v="Bob"/>
        <s v="Charlie"/>
      </sharedItems>
    </cacheField>
    <cacheField name="Product_Category" numFmtId="0">
      <sharedItems count="4">
        <s v="Electronics"/>
        <s v="Furniture"/>
        <s v="Food"/>
        <s v="Clothing"/>
      </sharedItems>
    </cacheField>
    <cacheField name="Customer_Type" numFmtId="0">
      <sharedItems/>
    </cacheField>
    <cacheField name="Payment_Method" numFmtId="0">
      <sharedItems count="3">
        <s v="Credit Card"/>
        <s v="Bank Transfer"/>
        <s v="Cash"/>
      </sharedItems>
    </cacheField>
    <cacheField name="Sales_Channel" numFmtId="0">
      <sharedItems count="2">
        <s v="Online"/>
        <s v="Retail"/>
      </sharedItems>
    </cacheField>
    <cacheField name="Quantity_Sold" numFmtId="1">
      <sharedItems containsSemiMixedTypes="0" containsString="0" containsNumber="1" containsInteger="1" minValue="1" maxValue="49"/>
    </cacheField>
    <cacheField name="Unit_Price" numFmtId="164">
      <sharedItems containsSemiMixedTypes="0" containsString="0" containsNumber="1" minValue="211.18" maxValue="5166.72"/>
    </cacheField>
    <cacheField name="Revenue" numFmtId="164">
      <sharedItems containsSemiMixedTypes="0" containsString="0" containsNumber="1" minValue="211.18" maxValue="249312"/>
    </cacheField>
    <cacheField name="Days (Sale_Date)" numFmtId="0" databaseField="0">
      <fieldGroup base="1">
        <rangePr groupBy="days" startDate="2023-01-01T00:00:00" endDate="2024-01-01T00:00:00"/>
        <groupItems count="368">
          <s v="&lt;01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4"/>
        </groupItems>
      </fieldGroup>
    </cacheField>
    <cacheField name="Months (Sale_Date)" numFmtId="0" databaseField="0">
      <fieldGroup base="1">
        <rangePr groupBy="months" startDate="2023-01-01T00:00:00" endDate="2024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1032"/>
    <x v="0"/>
    <x v="0"/>
    <x v="0"/>
    <s v="Returning"/>
    <x v="0"/>
    <x v="0"/>
    <n v="49"/>
    <n v="5088"/>
    <n v="249312"/>
  </r>
  <r>
    <n v="1062"/>
    <x v="1"/>
    <x v="1"/>
    <x v="1"/>
    <s v="Returning"/>
    <x v="0"/>
    <x v="0"/>
    <n v="45"/>
    <n v="5166.72"/>
    <n v="232502.40000000002"/>
  </r>
  <r>
    <n v="1084"/>
    <x v="2"/>
    <x v="0"/>
    <x v="1"/>
    <s v="Returning"/>
    <x v="0"/>
    <x v="0"/>
    <n v="49"/>
    <n v="4645.6400000000003"/>
    <n v="227636.36000000002"/>
  </r>
  <r>
    <n v="1067"/>
    <x v="3"/>
    <x v="0"/>
    <x v="2"/>
    <s v="Returning"/>
    <x v="1"/>
    <x v="0"/>
    <n v="48"/>
    <n v="4625.5600000000004"/>
    <n v="222026.88"/>
  </r>
  <r>
    <n v="1097"/>
    <x v="4"/>
    <x v="0"/>
    <x v="0"/>
    <s v="New"/>
    <x v="2"/>
    <x v="1"/>
    <n v="49"/>
    <n v="4315.5200000000004"/>
    <n v="211460.48000000001"/>
  </r>
  <r>
    <n v="1092"/>
    <x v="5"/>
    <x v="0"/>
    <x v="2"/>
    <s v="New"/>
    <x v="0"/>
    <x v="1"/>
    <n v="47"/>
    <n v="4462.3999999999996"/>
    <n v="209732.8"/>
  </r>
  <r>
    <n v="1035"/>
    <x v="6"/>
    <x v="2"/>
    <x v="2"/>
    <s v="New"/>
    <x v="0"/>
    <x v="1"/>
    <n v="45"/>
    <n v="4624.1000000000004"/>
    <n v="208084.50000000003"/>
  </r>
  <r>
    <n v="1020"/>
    <x v="7"/>
    <x v="3"/>
    <x v="0"/>
    <s v="New"/>
    <x v="1"/>
    <x v="0"/>
    <n v="45"/>
    <n v="4551.6000000000004"/>
    <n v="204822.00000000003"/>
  </r>
  <r>
    <n v="1089"/>
    <x v="8"/>
    <x v="3"/>
    <x v="1"/>
    <s v="New"/>
    <x v="1"/>
    <x v="1"/>
    <n v="47"/>
    <n v="4314.5600000000004"/>
    <n v="202784.32"/>
  </r>
  <r>
    <n v="1030"/>
    <x v="9"/>
    <x v="3"/>
    <x v="3"/>
    <s v="Returning"/>
    <x v="1"/>
    <x v="0"/>
    <n v="43"/>
    <n v="4713.68"/>
    <n v="202688.24000000002"/>
  </r>
  <r>
    <n v="1088"/>
    <x v="10"/>
    <x v="3"/>
    <x v="0"/>
    <s v="New"/>
    <x v="0"/>
    <x v="1"/>
    <n v="40"/>
    <n v="5034.3500000000004"/>
    <n v="201374"/>
  </r>
  <r>
    <n v="1080"/>
    <x v="11"/>
    <x v="3"/>
    <x v="1"/>
    <s v="Returning"/>
    <x v="1"/>
    <x v="0"/>
    <n v="47"/>
    <n v="4211.25"/>
    <n v="197928.75"/>
  </r>
  <r>
    <n v="1073"/>
    <x v="12"/>
    <x v="4"/>
    <x v="3"/>
    <s v="Returning"/>
    <x v="0"/>
    <x v="1"/>
    <n v="45"/>
    <n v="4381.8900000000003"/>
    <n v="197185.05000000002"/>
  </r>
  <r>
    <n v="1008"/>
    <x v="13"/>
    <x v="0"/>
    <x v="3"/>
    <s v="Returning"/>
    <x v="2"/>
    <x v="0"/>
    <n v="38"/>
    <n v="5075.4399999999996"/>
    <n v="192866.71999999997"/>
  </r>
  <r>
    <n v="1021"/>
    <x v="14"/>
    <x v="3"/>
    <x v="1"/>
    <s v="Returning"/>
    <x v="2"/>
    <x v="1"/>
    <n v="43"/>
    <n v="4469.07"/>
    <n v="192170.00999999998"/>
  </r>
  <r>
    <n v="1092"/>
    <x v="15"/>
    <x v="4"/>
    <x v="0"/>
    <s v="New"/>
    <x v="1"/>
    <x v="1"/>
    <n v="40"/>
    <n v="4731.9799999999996"/>
    <n v="189279.19999999998"/>
  </r>
  <r>
    <n v="1060"/>
    <x v="16"/>
    <x v="0"/>
    <x v="3"/>
    <s v="New"/>
    <x v="1"/>
    <x v="1"/>
    <n v="44"/>
    <n v="4276.99"/>
    <n v="188187.56"/>
  </r>
  <r>
    <n v="1087"/>
    <x v="17"/>
    <x v="0"/>
    <x v="1"/>
    <s v="New"/>
    <x v="1"/>
    <x v="0"/>
    <n v="46"/>
    <n v="3964.65"/>
    <n v="182373.9"/>
  </r>
  <r>
    <n v="1089"/>
    <x v="18"/>
    <x v="1"/>
    <x v="1"/>
    <s v="Returning"/>
    <x v="0"/>
    <x v="0"/>
    <n v="43"/>
    <n v="4186.9799999999996"/>
    <n v="180040.13999999998"/>
  </r>
  <r>
    <n v="1011"/>
    <x v="19"/>
    <x v="2"/>
    <x v="1"/>
    <s v="New"/>
    <x v="1"/>
    <x v="0"/>
    <n v="38"/>
    <n v="4642.46"/>
    <n v="176413.48"/>
  </r>
  <r>
    <n v="1072"/>
    <x v="20"/>
    <x v="3"/>
    <x v="3"/>
    <s v="New"/>
    <x v="0"/>
    <x v="1"/>
    <n v="39"/>
    <n v="4467.75"/>
    <n v="174242.25"/>
  </r>
  <r>
    <n v="1053"/>
    <x v="21"/>
    <x v="2"/>
    <x v="0"/>
    <s v="Returning"/>
    <x v="1"/>
    <x v="1"/>
    <n v="47"/>
    <n v="3696.1"/>
    <n v="173716.69999999998"/>
  </r>
  <r>
    <n v="1032"/>
    <x v="22"/>
    <x v="1"/>
    <x v="3"/>
    <s v="New"/>
    <x v="2"/>
    <x v="1"/>
    <n v="45"/>
    <n v="3780.88"/>
    <n v="170139.6"/>
  </r>
  <r>
    <n v="1053"/>
    <x v="23"/>
    <x v="3"/>
    <x v="3"/>
    <s v="New"/>
    <x v="2"/>
    <x v="1"/>
    <n v="36"/>
    <n v="4720.2700000000004"/>
    <n v="169929.72000000003"/>
  </r>
  <r>
    <n v="1075"/>
    <x v="24"/>
    <x v="1"/>
    <x v="1"/>
    <s v="Returning"/>
    <x v="1"/>
    <x v="0"/>
    <n v="44"/>
    <n v="3822.98"/>
    <n v="168211.12"/>
  </r>
  <r>
    <n v="1096"/>
    <x v="25"/>
    <x v="4"/>
    <x v="0"/>
    <s v="Returning"/>
    <x v="0"/>
    <x v="0"/>
    <n v="38"/>
    <n v="4270.59"/>
    <n v="162282.42000000001"/>
  </r>
  <r>
    <n v="1090"/>
    <x v="26"/>
    <x v="4"/>
    <x v="3"/>
    <s v="Returning"/>
    <x v="0"/>
    <x v="0"/>
    <n v="41"/>
    <n v="3946.77"/>
    <n v="161817.57"/>
  </r>
  <r>
    <n v="1039"/>
    <x v="27"/>
    <x v="0"/>
    <x v="1"/>
    <s v="New"/>
    <x v="1"/>
    <x v="0"/>
    <n v="40"/>
    <n v="3945.82"/>
    <n v="157832.80000000002"/>
  </r>
  <r>
    <n v="1016"/>
    <x v="28"/>
    <x v="0"/>
    <x v="0"/>
    <s v="Returning"/>
    <x v="2"/>
    <x v="0"/>
    <n v="38"/>
    <n v="4152.72"/>
    <n v="157803.36000000002"/>
  </r>
  <r>
    <n v="1045"/>
    <x v="29"/>
    <x v="1"/>
    <x v="3"/>
    <s v="Returning"/>
    <x v="2"/>
    <x v="0"/>
    <n v="42"/>
    <n v="3745.91"/>
    <n v="157328.22"/>
  </r>
  <r>
    <n v="1078"/>
    <x v="30"/>
    <x v="2"/>
    <x v="1"/>
    <s v="Returning"/>
    <x v="2"/>
    <x v="1"/>
    <n v="49"/>
    <n v="3183.58"/>
    <n v="155995.41999999998"/>
  </r>
  <r>
    <n v="1019"/>
    <x v="31"/>
    <x v="3"/>
    <x v="3"/>
    <s v="Returning"/>
    <x v="1"/>
    <x v="0"/>
    <n v="38"/>
    <n v="4096.96"/>
    <n v="155684.48000000001"/>
  </r>
  <r>
    <n v="1059"/>
    <x v="32"/>
    <x v="2"/>
    <x v="0"/>
    <s v="Returning"/>
    <x v="2"/>
    <x v="1"/>
    <n v="37"/>
    <n v="4172.3500000000004"/>
    <n v="154376.95000000001"/>
  </r>
  <r>
    <n v="1006"/>
    <x v="33"/>
    <x v="3"/>
    <x v="2"/>
    <s v="New"/>
    <x v="2"/>
    <x v="1"/>
    <n v="49"/>
    <n v="3146.6"/>
    <n v="154183.4"/>
  </r>
  <r>
    <n v="1063"/>
    <x v="34"/>
    <x v="3"/>
    <x v="2"/>
    <s v="Returning"/>
    <x v="2"/>
    <x v="1"/>
    <n v="39"/>
    <n v="3931.25"/>
    <n v="153318.75"/>
  </r>
  <r>
    <n v="1090"/>
    <x v="35"/>
    <x v="1"/>
    <x v="1"/>
    <s v="New"/>
    <x v="2"/>
    <x v="1"/>
    <n v="31"/>
    <n v="4880.8"/>
    <n v="151304.80000000002"/>
  </r>
  <r>
    <n v="1039"/>
    <x v="36"/>
    <x v="2"/>
    <x v="3"/>
    <s v="Returning"/>
    <x v="0"/>
    <x v="1"/>
    <n v="42"/>
    <n v="3600.14"/>
    <n v="151205.88"/>
  </r>
  <r>
    <n v="1089"/>
    <x v="13"/>
    <x v="4"/>
    <x v="3"/>
    <s v="New"/>
    <x v="0"/>
    <x v="0"/>
    <n v="35"/>
    <n v="4304.7"/>
    <n v="150664.5"/>
  </r>
  <r>
    <n v="1052"/>
    <x v="37"/>
    <x v="4"/>
    <x v="2"/>
    <s v="Returning"/>
    <x v="1"/>
    <x v="1"/>
    <n v="48"/>
    <n v="3080.61"/>
    <n v="147869.28"/>
  </r>
  <r>
    <n v="1052"/>
    <x v="38"/>
    <x v="1"/>
    <x v="0"/>
    <s v="Returning"/>
    <x v="2"/>
    <x v="1"/>
    <n v="46"/>
    <n v="3198.49"/>
    <n v="147130.53999999998"/>
  </r>
  <r>
    <n v="1058"/>
    <x v="39"/>
    <x v="0"/>
    <x v="3"/>
    <s v="New"/>
    <x v="0"/>
    <x v="1"/>
    <n v="48"/>
    <n v="3049.04"/>
    <n v="146353.91999999998"/>
  </r>
  <r>
    <n v="1035"/>
    <x v="40"/>
    <x v="3"/>
    <x v="0"/>
    <s v="New"/>
    <x v="1"/>
    <x v="0"/>
    <n v="47"/>
    <n v="3096.64"/>
    <n v="145542.07999999999"/>
  </r>
  <r>
    <n v="1002"/>
    <x v="41"/>
    <x v="1"/>
    <x v="3"/>
    <s v="Returning"/>
    <x v="0"/>
    <x v="1"/>
    <n v="30"/>
    <n v="4784.28"/>
    <n v="143528.4"/>
  </r>
  <r>
    <n v="1089"/>
    <x v="42"/>
    <x v="0"/>
    <x v="1"/>
    <s v="New"/>
    <x v="2"/>
    <x v="0"/>
    <n v="35"/>
    <n v="4082.11"/>
    <n v="142873.85"/>
  </r>
  <r>
    <n v="1048"/>
    <x v="43"/>
    <x v="4"/>
    <x v="0"/>
    <s v="Returning"/>
    <x v="0"/>
    <x v="1"/>
    <n v="42"/>
    <n v="3349.37"/>
    <n v="140673.54"/>
  </r>
  <r>
    <n v="1097"/>
    <x v="44"/>
    <x v="2"/>
    <x v="0"/>
    <s v="Returning"/>
    <x v="0"/>
    <x v="1"/>
    <n v="27"/>
    <n v="5046.51"/>
    <n v="136255.77000000002"/>
  </r>
  <r>
    <n v="1099"/>
    <x v="22"/>
    <x v="2"/>
    <x v="2"/>
    <s v="Returning"/>
    <x v="0"/>
    <x v="0"/>
    <n v="27"/>
    <n v="4990.33"/>
    <n v="134738.91"/>
  </r>
  <r>
    <n v="1073"/>
    <x v="45"/>
    <x v="2"/>
    <x v="1"/>
    <s v="New"/>
    <x v="2"/>
    <x v="0"/>
    <n v="45"/>
    <n v="2958.55"/>
    <n v="133134.75"/>
  </r>
  <r>
    <n v="1059"/>
    <x v="5"/>
    <x v="2"/>
    <x v="2"/>
    <s v="Returning"/>
    <x v="0"/>
    <x v="0"/>
    <n v="35"/>
    <n v="3764.52"/>
    <n v="131758.20000000001"/>
  </r>
  <r>
    <n v="1028"/>
    <x v="46"/>
    <x v="2"/>
    <x v="3"/>
    <s v="New"/>
    <x v="2"/>
    <x v="0"/>
    <n v="38"/>
    <n v="3449.94"/>
    <n v="131097.72"/>
  </r>
  <r>
    <n v="1070"/>
    <x v="47"/>
    <x v="1"/>
    <x v="1"/>
    <s v="New"/>
    <x v="2"/>
    <x v="0"/>
    <n v="40"/>
    <n v="3258.45"/>
    <n v="130338"/>
  </r>
  <r>
    <n v="1096"/>
    <x v="48"/>
    <x v="2"/>
    <x v="3"/>
    <s v="New"/>
    <x v="0"/>
    <x v="0"/>
    <n v="48"/>
    <n v="2714.12"/>
    <n v="130277.75999999999"/>
  </r>
  <r>
    <n v="1009"/>
    <x v="49"/>
    <x v="1"/>
    <x v="1"/>
    <s v="Returning"/>
    <x v="0"/>
    <x v="1"/>
    <n v="40"/>
    <n v="3231.08"/>
    <n v="129243.2"/>
  </r>
  <r>
    <n v="1016"/>
    <x v="50"/>
    <x v="0"/>
    <x v="3"/>
    <s v="New"/>
    <x v="1"/>
    <x v="0"/>
    <n v="26"/>
    <n v="4954.3900000000003"/>
    <n v="128814.14000000001"/>
  </r>
  <r>
    <n v="1096"/>
    <x v="51"/>
    <x v="3"/>
    <x v="0"/>
    <s v="Returning"/>
    <x v="1"/>
    <x v="1"/>
    <n v="30"/>
    <n v="4281.79"/>
    <n v="128453.7"/>
  </r>
  <r>
    <n v="1086"/>
    <x v="52"/>
    <x v="2"/>
    <x v="3"/>
    <s v="Returning"/>
    <x v="2"/>
    <x v="1"/>
    <n v="33"/>
    <n v="3890.36"/>
    <n v="128381.88"/>
  </r>
  <r>
    <n v="1003"/>
    <x v="52"/>
    <x v="2"/>
    <x v="1"/>
    <s v="New"/>
    <x v="2"/>
    <x v="0"/>
    <n v="30"/>
    <n v="4270.6499999999996"/>
    <n v="128119.49999999999"/>
  </r>
  <r>
    <n v="1037"/>
    <x v="53"/>
    <x v="3"/>
    <x v="3"/>
    <s v="Returning"/>
    <x v="1"/>
    <x v="0"/>
    <n v="40"/>
    <n v="3192.37"/>
    <n v="127694.79999999999"/>
  </r>
  <r>
    <n v="1044"/>
    <x v="54"/>
    <x v="4"/>
    <x v="2"/>
    <s v="Returning"/>
    <x v="0"/>
    <x v="0"/>
    <n v="34"/>
    <n v="3740.13"/>
    <n v="127164.42"/>
  </r>
  <r>
    <n v="1090"/>
    <x v="55"/>
    <x v="4"/>
    <x v="3"/>
    <s v="New"/>
    <x v="1"/>
    <x v="0"/>
    <n v="47"/>
    <n v="2693.33"/>
    <n v="126586.51"/>
  </r>
  <r>
    <n v="1020"/>
    <x v="56"/>
    <x v="0"/>
    <x v="3"/>
    <s v="New"/>
    <x v="0"/>
    <x v="1"/>
    <n v="26"/>
    <n v="4770.42"/>
    <n v="124030.92"/>
  </r>
  <r>
    <n v="1062"/>
    <x v="57"/>
    <x v="3"/>
    <x v="2"/>
    <s v="New"/>
    <x v="2"/>
    <x v="0"/>
    <n v="48"/>
    <n v="2521.4499999999998"/>
    <n v="121029.59999999999"/>
  </r>
  <r>
    <n v="1014"/>
    <x v="58"/>
    <x v="1"/>
    <x v="2"/>
    <s v="Returning"/>
    <x v="2"/>
    <x v="0"/>
    <n v="44"/>
    <n v="2747.81"/>
    <n v="120903.64"/>
  </r>
  <r>
    <n v="1092"/>
    <x v="59"/>
    <x v="2"/>
    <x v="1"/>
    <s v="New"/>
    <x v="1"/>
    <x v="1"/>
    <n v="49"/>
    <n v="2467.2800000000002"/>
    <n v="120896.72000000002"/>
  </r>
  <r>
    <n v="1047"/>
    <x v="28"/>
    <x v="2"/>
    <x v="0"/>
    <s v="Returning"/>
    <x v="0"/>
    <x v="0"/>
    <n v="37"/>
    <n v="3256.78"/>
    <n v="120500.86"/>
  </r>
  <r>
    <n v="1073"/>
    <x v="60"/>
    <x v="1"/>
    <x v="1"/>
    <s v="Returning"/>
    <x v="0"/>
    <x v="1"/>
    <n v="40"/>
    <n v="3007.47"/>
    <n v="120298.79999999999"/>
  </r>
  <r>
    <n v="1089"/>
    <x v="61"/>
    <x v="3"/>
    <x v="2"/>
    <s v="New"/>
    <x v="2"/>
    <x v="1"/>
    <n v="48"/>
    <n v="2486.14"/>
    <n v="119334.72"/>
  </r>
  <r>
    <n v="1056"/>
    <x v="23"/>
    <x v="1"/>
    <x v="1"/>
    <s v="Returning"/>
    <x v="2"/>
    <x v="1"/>
    <n v="47"/>
    <n v="2529.02"/>
    <n v="118863.94"/>
  </r>
  <r>
    <n v="1081"/>
    <x v="62"/>
    <x v="1"/>
    <x v="1"/>
    <s v="New"/>
    <x v="1"/>
    <x v="0"/>
    <n v="41"/>
    <n v="2879.24"/>
    <n v="118048.84"/>
  </r>
  <r>
    <n v="1053"/>
    <x v="63"/>
    <x v="1"/>
    <x v="0"/>
    <s v="Returning"/>
    <x v="0"/>
    <x v="0"/>
    <n v="29"/>
    <n v="4061.04"/>
    <n v="117770.16"/>
  </r>
  <r>
    <n v="1054"/>
    <x v="64"/>
    <x v="0"/>
    <x v="1"/>
    <s v="Returning"/>
    <x v="2"/>
    <x v="0"/>
    <n v="40"/>
    <n v="2929.32"/>
    <n v="117172.8"/>
  </r>
  <r>
    <n v="1001"/>
    <x v="49"/>
    <x v="0"/>
    <x v="0"/>
    <s v="New"/>
    <x v="1"/>
    <x v="0"/>
    <n v="35"/>
    <n v="3244.76"/>
    <n v="113566.6"/>
  </r>
  <r>
    <n v="1076"/>
    <x v="16"/>
    <x v="0"/>
    <x v="3"/>
    <s v="New"/>
    <x v="0"/>
    <x v="1"/>
    <n v="30"/>
    <n v="3774.65"/>
    <n v="113239.5"/>
  </r>
  <r>
    <n v="1001"/>
    <x v="55"/>
    <x v="0"/>
    <x v="2"/>
    <s v="Returning"/>
    <x v="2"/>
    <x v="0"/>
    <n v="39"/>
    <n v="2889.67"/>
    <n v="112697.13"/>
  </r>
  <r>
    <n v="1036"/>
    <x v="65"/>
    <x v="4"/>
    <x v="1"/>
    <s v="Returning"/>
    <x v="1"/>
    <x v="0"/>
    <n v="25"/>
    <n v="4446.45"/>
    <n v="111161.25"/>
  </r>
  <r>
    <n v="1042"/>
    <x v="66"/>
    <x v="1"/>
    <x v="1"/>
    <s v="New"/>
    <x v="2"/>
    <x v="1"/>
    <n v="46"/>
    <n v="2367.11"/>
    <n v="108887.06000000001"/>
  </r>
  <r>
    <n v="1004"/>
    <x v="2"/>
    <x v="0"/>
    <x v="0"/>
    <s v="Returning"/>
    <x v="2"/>
    <x v="0"/>
    <n v="39"/>
    <n v="2778.4"/>
    <n v="108357.6"/>
  </r>
  <r>
    <n v="1074"/>
    <x v="59"/>
    <x v="0"/>
    <x v="2"/>
    <s v="Returning"/>
    <x v="0"/>
    <x v="0"/>
    <n v="38"/>
    <n v="2836.94"/>
    <n v="107803.72"/>
  </r>
  <r>
    <n v="1024"/>
    <x v="67"/>
    <x v="0"/>
    <x v="0"/>
    <s v="Returning"/>
    <x v="1"/>
    <x v="1"/>
    <n v="46"/>
    <n v="2338.66"/>
    <n v="107578.35999999999"/>
  </r>
  <r>
    <n v="1099"/>
    <x v="68"/>
    <x v="0"/>
    <x v="0"/>
    <s v="New"/>
    <x v="1"/>
    <x v="0"/>
    <n v="25"/>
    <n v="4293.6899999999996"/>
    <n v="107342.24999999999"/>
  </r>
  <r>
    <n v="1091"/>
    <x v="69"/>
    <x v="4"/>
    <x v="2"/>
    <s v="Returning"/>
    <x v="1"/>
    <x v="1"/>
    <n v="44"/>
    <n v="2406.58"/>
    <n v="105889.51999999999"/>
  </r>
  <r>
    <n v="1054"/>
    <x v="70"/>
    <x v="3"/>
    <x v="1"/>
    <s v="New"/>
    <x v="1"/>
    <x v="0"/>
    <n v="21"/>
    <n v="5040.22"/>
    <n v="105844.62000000001"/>
  </r>
  <r>
    <n v="1078"/>
    <x v="71"/>
    <x v="1"/>
    <x v="1"/>
    <s v="Returning"/>
    <x v="0"/>
    <x v="1"/>
    <n v="49"/>
    <n v="2147.14"/>
    <n v="105209.86"/>
  </r>
  <r>
    <n v="1072"/>
    <x v="62"/>
    <x v="3"/>
    <x v="2"/>
    <s v="New"/>
    <x v="0"/>
    <x v="1"/>
    <n v="26"/>
    <n v="4002.63"/>
    <n v="104068.38"/>
  </r>
  <r>
    <n v="1060"/>
    <x v="27"/>
    <x v="4"/>
    <x v="0"/>
    <s v="Returning"/>
    <x v="1"/>
    <x v="0"/>
    <n v="31"/>
    <n v="3339.66"/>
    <n v="103529.45999999999"/>
  </r>
  <r>
    <n v="1060"/>
    <x v="72"/>
    <x v="0"/>
    <x v="3"/>
    <s v="New"/>
    <x v="0"/>
    <x v="0"/>
    <n v="23"/>
    <n v="4488.37"/>
    <n v="103232.51"/>
  </r>
  <r>
    <n v="1088"/>
    <x v="73"/>
    <x v="2"/>
    <x v="3"/>
    <s v="New"/>
    <x v="1"/>
    <x v="1"/>
    <n v="20"/>
    <n v="5088.28"/>
    <n v="101765.59999999999"/>
  </r>
  <r>
    <n v="1090"/>
    <x v="74"/>
    <x v="2"/>
    <x v="0"/>
    <s v="Returning"/>
    <x v="2"/>
    <x v="1"/>
    <n v="32"/>
    <n v="3152.28"/>
    <n v="100872.96000000001"/>
  </r>
  <r>
    <n v="1015"/>
    <x v="75"/>
    <x v="1"/>
    <x v="0"/>
    <s v="Returning"/>
    <x v="2"/>
    <x v="1"/>
    <n v="22"/>
    <n v="4576.72"/>
    <n v="100687.84000000001"/>
  </r>
  <r>
    <n v="1024"/>
    <x v="76"/>
    <x v="2"/>
    <x v="2"/>
    <s v="Returning"/>
    <x v="2"/>
    <x v="0"/>
    <n v="42"/>
    <n v="2363.9"/>
    <n v="99283.8"/>
  </r>
  <r>
    <n v="1031"/>
    <x v="77"/>
    <x v="1"/>
    <x v="2"/>
    <s v="New"/>
    <x v="1"/>
    <x v="0"/>
    <n v="22"/>
    <n v="4382.32"/>
    <n v="96411.04"/>
  </r>
  <r>
    <n v="1014"/>
    <x v="78"/>
    <x v="2"/>
    <x v="2"/>
    <s v="Returning"/>
    <x v="0"/>
    <x v="0"/>
    <n v="38"/>
    <n v="2527"/>
    <n v="96026"/>
  </r>
  <r>
    <n v="1003"/>
    <x v="79"/>
    <x v="1"/>
    <x v="2"/>
    <s v="New"/>
    <x v="1"/>
    <x v="0"/>
    <n v="22"/>
    <n v="4331.42"/>
    <n v="95291.24"/>
  </r>
  <r>
    <n v="1002"/>
    <x v="80"/>
    <x v="1"/>
    <x v="3"/>
    <s v="Returning"/>
    <x v="0"/>
    <x v="1"/>
    <n v="21"/>
    <n v="4361.7"/>
    <n v="91595.7"/>
  </r>
  <r>
    <n v="1015"/>
    <x v="81"/>
    <x v="1"/>
    <x v="2"/>
    <s v="Returning"/>
    <x v="1"/>
    <x v="0"/>
    <n v="30"/>
    <n v="3027.92"/>
    <n v="90837.6"/>
  </r>
  <r>
    <n v="1091"/>
    <x v="82"/>
    <x v="2"/>
    <x v="3"/>
    <s v="New"/>
    <x v="1"/>
    <x v="1"/>
    <n v="24"/>
    <n v="3750.63"/>
    <n v="90015.12"/>
  </r>
  <r>
    <n v="1080"/>
    <x v="83"/>
    <x v="4"/>
    <x v="0"/>
    <s v="New"/>
    <x v="0"/>
    <x v="0"/>
    <n v="44"/>
    <n v="1983.82"/>
    <n v="87288.08"/>
  </r>
  <r>
    <n v="1029"/>
    <x v="84"/>
    <x v="1"/>
    <x v="3"/>
    <s v="New"/>
    <x v="0"/>
    <x v="1"/>
    <n v="28"/>
    <n v="3108.3"/>
    <n v="87032.400000000009"/>
  </r>
  <r>
    <n v="1009"/>
    <x v="65"/>
    <x v="2"/>
    <x v="3"/>
    <s v="New"/>
    <x v="0"/>
    <x v="0"/>
    <n v="33"/>
    <n v="2626.9"/>
    <n v="86687.7"/>
  </r>
  <r>
    <n v="1002"/>
    <x v="85"/>
    <x v="1"/>
    <x v="1"/>
    <s v="New"/>
    <x v="0"/>
    <x v="1"/>
    <n v="24"/>
    <n v="3599.27"/>
    <n v="86382.48"/>
  </r>
  <r>
    <n v="1012"/>
    <x v="86"/>
    <x v="1"/>
    <x v="1"/>
    <s v="New"/>
    <x v="1"/>
    <x v="1"/>
    <n v="34"/>
    <n v="2521.77"/>
    <n v="85740.18"/>
  </r>
  <r>
    <n v="1060"/>
    <x v="12"/>
    <x v="3"/>
    <x v="3"/>
    <s v="New"/>
    <x v="1"/>
    <x v="1"/>
    <n v="46"/>
    <n v="1830.27"/>
    <n v="84192.42"/>
  </r>
  <r>
    <n v="1050"/>
    <x v="87"/>
    <x v="4"/>
    <x v="3"/>
    <s v="Returning"/>
    <x v="1"/>
    <x v="1"/>
    <n v="35"/>
    <n v="2384.38"/>
    <n v="83453.3"/>
  </r>
  <r>
    <n v="1032"/>
    <x v="88"/>
    <x v="3"/>
    <x v="0"/>
    <s v="Returning"/>
    <x v="0"/>
    <x v="1"/>
    <n v="25"/>
    <n v="3337.4"/>
    <n v="83435"/>
  </r>
  <r>
    <n v="1090"/>
    <x v="89"/>
    <x v="3"/>
    <x v="3"/>
    <s v="Returning"/>
    <x v="1"/>
    <x v="1"/>
    <n v="31"/>
    <n v="2668.02"/>
    <n v="82708.62"/>
  </r>
  <r>
    <n v="1040"/>
    <x v="90"/>
    <x v="2"/>
    <x v="3"/>
    <s v="New"/>
    <x v="0"/>
    <x v="0"/>
    <n v="47"/>
    <n v="1750.38"/>
    <n v="82267.86"/>
  </r>
  <r>
    <n v="1081"/>
    <x v="91"/>
    <x v="4"/>
    <x v="0"/>
    <s v="New"/>
    <x v="0"/>
    <x v="0"/>
    <n v="44"/>
    <n v="1844.07"/>
    <n v="81139.08"/>
  </r>
  <r>
    <n v="1068"/>
    <x v="92"/>
    <x v="3"/>
    <x v="3"/>
    <s v="Returning"/>
    <x v="1"/>
    <x v="0"/>
    <n v="22"/>
    <n v="3651.42"/>
    <n v="80331.240000000005"/>
  </r>
  <r>
    <n v="1084"/>
    <x v="93"/>
    <x v="2"/>
    <x v="1"/>
    <s v="New"/>
    <x v="2"/>
    <x v="0"/>
    <n v="21"/>
    <n v="3765.31"/>
    <n v="79071.509999999995"/>
  </r>
  <r>
    <n v="1090"/>
    <x v="94"/>
    <x v="4"/>
    <x v="3"/>
    <s v="New"/>
    <x v="0"/>
    <x v="1"/>
    <n v="17"/>
    <n v="4645.3500000000004"/>
    <n v="78970.950000000012"/>
  </r>
  <r>
    <n v="1097"/>
    <x v="1"/>
    <x v="1"/>
    <x v="2"/>
    <s v="New"/>
    <x v="0"/>
    <x v="0"/>
    <n v="35"/>
    <n v="2254.84"/>
    <n v="78919.400000000009"/>
  </r>
  <r>
    <n v="1051"/>
    <x v="95"/>
    <x v="2"/>
    <x v="0"/>
    <s v="New"/>
    <x v="2"/>
    <x v="0"/>
    <n v="23"/>
    <n v="3401.1"/>
    <n v="78225.3"/>
  </r>
  <r>
    <n v="1007"/>
    <x v="96"/>
    <x v="2"/>
    <x v="3"/>
    <s v="Returning"/>
    <x v="1"/>
    <x v="1"/>
    <n v="34"/>
    <n v="2289.27"/>
    <n v="77835.179999999993"/>
  </r>
  <r>
    <n v="1033"/>
    <x v="97"/>
    <x v="1"/>
    <x v="1"/>
    <s v="Returning"/>
    <x v="1"/>
    <x v="1"/>
    <n v="23"/>
    <n v="3360.4"/>
    <n v="77289.2"/>
  </r>
  <r>
    <n v="1092"/>
    <x v="98"/>
    <x v="1"/>
    <x v="1"/>
    <s v="New"/>
    <x v="0"/>
    <x v="0"/>
    <n v="34"/>
    <n v="2238.65"/>
    <n v="76114.100000000006"/>
  </r>
  <r>
    <n v="1083"/>
    <x v="78"/>
    <x v="3"/>
    <x v="1"/>
    <s v="Returning"/>
    <x v="2"/>
    <x v="0"/>
    <n v="29"/>
    <n v="2624.09"/>
    <n v="76098.61"/>
  </r>
  <r>
    <n v="1057"/>
    <x v="99"/>
    <x v="3"/>
    <x v="1"/>
    <s v="Returning"/>
    <x v="0"/>
    <x v="0"/>
    <n v="31"/>
    <n v="2453.35"/>
    <n v="76053.849999999991"/>
  </r>
  <r>
    <n v="1044"/>
    <x v="100"/>
    <x v="1"/>
    <x v="2"/>
    <s v="Returning"/>
    <x v="1"/>
    <x v="1"/>
    <n v="22"/>
    <n v="3454.76"/>
    <n v="76004.72"/>
  </r>
  <r>
    <n v="1021"/>
    <x v="101"/>
    <x v="2"/>
    <x v="1"/>
    <s v="Returning"/>
    <x v="1"/>
    <x v="0"/>
    <n v="31"/>
    <n v="2441.79"/>
    <n v="75695.490000000005"/>
  </r>
  <r>
    <n v="1002"/>
    <x v="90"/>
    <x v="1"/>
    <x v="1"/>
    <s v="Returning"/>
    <x v="2"/>
    <x v="0"/>
    <n v="17"/>
    <n v="4420.1499999999996"/>
    <n v="75142.549999999988"/>
  </r>
  <r>
    <n v="1071"/>
    <x v="99"/>
    <x v="1"/>
    <x v="2"/>
    <s v="New"/>
    <x v="2"/>
    <x v="1"/>
    <n v="40"/>
    <n v="1875.75"/>
    <n v="75030"/>
  </r>
  <r>
    <n v="1062"/>
    <x v="17"/>
    <x v="0"/>
    <x v="3"/>
    <s v="New"/>
    <x v="0"/>
    <x v="0"/>
    <n v="15"/>
    <n v="4888.46"/>
    <n v="73326.899999999994"/>
  </r>
  <r>
    <n v="1093"/>
    <x v="102"/>
    <x v="1"/>
    <x v="0"/>
    <s v="New"/>
    <x v="0"/>
    <x v="0"/>
    <n v="19"/>
    <n v="3844.51"/>
    <n v="73045.69"/>
  </r>
  <r>
    <n v="1086"/>
    <x v="103"/>
    <x v="4"/>
    <x v="0"/>
    <s v="New"/>
    <x v="2"/>
    <x v="0"/>
    <n v="17"/>
    <n v="4262.21"/>
    <n v="72457.570000000007"/>
  </r>
  <r>
    <n v="1093"/>
    <x v="104"/>
    <x v="3"/>
    <x v="1"/>
    <s v="Returning"/>
    <x v="2"/>
    <x v="1"/>
    <n v="17"/>
    <n v="4209.4399999999996"/>
    <n v="71560.479999999996"/>
  </r>
  <r>
    <n v="1059"/>
    <x v="25"/>
    <x v="3"/>
    <x v="1"/>
    <s v="Returning"/>
    <x v="0"/>
    <x v="1"/>
    <n v="16"/>
    <n v="4464.28"/>
    <n v="71428.479999999996"/>
  </r>
  <r>
    <n v="1042"/>
    <x v="105"/>
    <x v="3"/>
    <x v="2"/>
    <s v="Returning"/>
    <x v="0"/>
    <x v="1"/>
    <n v="20"/>
    <n v="3565.58"/>
    <n v="71311.600000000006"/>
  </r>
  <r>
    <n v="1060"/>
    <x v="106"/>
    <x v="3"/>
    <x v="3"/>
    <s v="New"/>
    <x v="2"/>
    <x v="0"/>
    <n v="16"/>
    <n v="4422.59"/>
    <n v="70761.440000000002"/>
  </r>
  <r>
    <n v="1075"/>
    <x v="107"/>
    <x v="3"/>
    <x v="2"/>
    <s v="New"/>
    <x v="1"/>
    <x v="0"/>
    <n v="37"/>
    <n v="1906.64"/>
    <n v="70545.680000000008"/>
  </r>
  <r>
    <n v="1071"/>
    <x v="4"/>
    <x v="2"/>
    <x v="0"/>
    <s v="New"/>
    <x v="1"/>
    <x v="0"/>
    <n v="22"/>
    <n v="3185.81"/>
    <n v="70087.819999999992"/>
  </r>
  <r>
    <n v="1036"/>
    <x v="41"/>
    <x v="1"/>
    <x v="3"/>
    <s v="New"/>
    <x v="2"/>
    <x v="0"/>
    <n v="49"/>
    <n v="1429.44"/>
    <n v="70042.559999999998"/>
  </r>
  <r>
    <n v="1079"/>
    <x v="108"/>
    <x v="1"/>
    <x v="3"/>
    <s v="New"/>
    <x v="2"/>
    <x v="1"/>
    <n v="45"/>
    <n v="1547.35"/>
    <n v="69630.75"/>
  </r>
  <r>
    <n v="1015"/>
    <x v="109"/>
    <x v="4"/>
    <x v="2"/>
    <s v="Returning"/>
    <x v="2"/>
    <x v="1"/>
    <n v="23"/>
    <n v="3007.53"/>
    <n v="69173.19"/>
  </r>
  <r>
    <n v="1047"/>
    <x v="22"/>
    <x v="0"/>
    <x v="3"/>
    <s v="Returning"/>
    <x v="0"/>
    <x v="1"/>
    <n v="16"/>
    <n v="4321.04"/>
    <n v="69136.639999999999"/>
  </r>
  <r>
    <n v="1079"/>
    <x v="105"/>
    <x v="1"/>
    <x v="1"/>
    <s v="Returning"/>
    <x v="0"/>
    <x v="0"/>
    <n v="34"/>
    <n v="1993.4"/>
    <n v="67775.600000000006"/>
  </r>
  <r>
    <n v="1029"/>
    <x v="73"/>
    <x v="0"/>
    <x v="2"/>
    <s v="New"/>
    <x v="2"/>
    <x v="1"/>
    <n v="21"/>
    <n v="3200.75"/>
    <n v="67215.75"/>
  </r>
  <r>
    <n v="1059"/>
    <x v="110"/>
    <x v="2"/>
    <x v="3"/>
    <s v="New"/>
    <x v="0"/>
    <x v="0"/>
    <n v="21"/>
    <n v="3192.99"/>
    <n v="67052.789999999994"/>
  </r>
  <r>
    <n v="1028"/>
    <x v="58"/>
    <x v="2"/>
    <x v="3"/>
    <s v="Returning"/>
    <x v="1"/>
    <x v="1"/>
    <n v="24"/>
    <n v="2766.05"/>
    <n v="66385.200000000012"/>
  </r>
  <r>
    <n v="1069"/>
    <x v="111"/>
    <x v="1"/>
    <x v="3"/>
    <s v="New"/>
    <x v="0"/>
    <x v="1"/>
    <n v="42"/>
    <n v="1482.88"/>
    <n v="62280.960000000006"/>
  </r>
  <r>
    <n v="1030"/>
    <x v="112"/>
    <x v="1"/>
    <x v="3"/>
    <s v="Returning"/>
    <x v="2"/>
    <x v="0"/>
    <n v="19"/>
    <n v="3209.22"/>
    <n v="60975.179999999993"/>
  </r>
  <r>
    <n v="1062"/>
    <x v="113"/>
    <x v="4"/>
    <x v="3"/>
    <s v="Returning"/>
    <x v="2"/>
    <x v="1"/>
    <n v="28"/>
    <n v="2168.91"/>
    <n v="60729.479999999996"/>
  </r>
  <r>
    <n v="1022"/>
    <x v="106"/>
    <x v="4"/>
    <x v="2"/>
    <s v="New"/>
    <x v="1"/>
    <x v="1"/>
    <n v="21"/>
    <n v="2869.6"/>
    <n v="60261.599999999999"/>
  </r>
  <r>
    <n v="1027"/>
    <x v="114"/>
    <x v="0"/>
    <x v="2"/>
    <s v="Returning"/>
    <x v="1"/>
    <x v="0"/>
    <n v="21"/>
    <n v="2848.4"/>
    <n v="59816.4"/>
  </r>
  <r>
    <n v="1089"/>
    <x v="115"/>
    <x v="0"/>
    <x v="2"/>
    <s v="Returning"/>
    <x v="0"/>
    <x v="1"/>
    <n v="23"/>
    <n v="2597.67"/>
    <n v="59746.41"/>
  </r>
  <r>
    <n v="1002"/>
    <x v="32"/>
    <x v="4"/>
    <x v="3"/>
    <s v="Returning"/>
    <x v="2"/>
    <x v="0"/>
    <n v="26"/>
    <n v="2291.17"/>
    <n v="59570.42"/>
  </r>
  <r>
    <n v="1082"/>
    <x v="116"/>
    <x v="2"/>
    <x v="0"/>
    <s v="Returning"/>
    <x v="1"/>
    <x v="0"/>
    <n v="41"/>
    <n v="1444.97"/>
    <n v="59243.770000000004"/>
  </r>
  <r>
    <n v="1070"/>
    <x v="117"/>
    <x v="3"/>
    <x v="0"/>
    <s v="New"/>
    <x v="0"/>
    <x v="1"/>
    <n v="15"/>
    <n v="3896.19"/>
    <n v="58442.85"/>
  </r>
  <r>
    <n v="1088"/>
    <x v="118"/>
    <x v="0"/>
    <x v="3"/>
    <s v="Returning"/>
    <x v="2"/>
    <x v="1"/>
    <n v="12"/>
    <n v="4856.22"/>
    <n v="58274.64"/>
  </r>
  <r>
    <n v="1069"/>
    <x v="119"/>
    <x v="0"/>
    <x v="1"/>
    <s v="New"/>
    <x v="1"/>
    <x v="1"/>
    <n v="18"/>
    <n v="3219.58"/>
    <n v="57952.44"/>
  </r>
  <r>
    <n v="1014"/>
    <x v="120"/>
    <x v="1"/>
    <x v="2"/>
    <s v="New"/>
    <x v="1"/>
    <x v="0"/>
    <n v="17"/>
    <n v="3204.01"/>
    <n v="54468.170000000006"/>
  </r>
  <r>
    <n v="1041"/>
    <x v="121"/>
    <x v="3"/>
    <x v="2"/>
    <s v="Returning"/>
    <x v="2"/>
    <x v="1"/>
    <n v="31"/>
    <n v="1756.34"/>
    <n v="54446.54"/>
  </r>
  <r>
    <n v="1033"/>
    <x v="122"/>
    <x v="3"/>
    <x v="1"/>
    <s v="New"/>
    <x v="1"/>
    <x v="1"/>
    <n v="16"/>
    <n v="3397.36"/>
    <n v="54357.760000000002"/>
  </r>
  <r>
    <n v="1001"/>
    <x v="123"/>
    <x v="1"/>
    <x v="1"/>
    <s v="Returning"/>
    <x v="1"/>
    <x v="0"/>
    <n v="18"/>
    <n v="3013.49"/>
    <n v="54242.819999999992"/>
  </r>
  <r>
    <n v="1002"/>
    <x v="124"/>
    <x v="1"/>
    <x v="3"/>
    <s v="New"/>
    <x v="1"/>
    <x v="0"/>
    <n v="39"/>
    <n v="1389.35"/>
    <n v="54184.649999999994"/>
  </r>
  <r>
    <n v="1028"/>
    <x v="100"/>
    <x v="3"/>
    <x v="0"/>
    <s v="Returning"/>
    <x v="0"/>
    <x v="0"/>
    <n v="24"/>
    <n v="2241.96"/>
    <n v="53807.040000000001"/>
  </r>
  <r>
    <n v="1004"/>
    <x v="125"/>
    <x v="0"/>
    <x v="3"/>
    <s v="New"/>
    <x v="2"/>
    <x v="0"/>
    <n v="11"/>
    <n v="4884.29"/>
    <n v="53727.19"/>
  </r>
  <r>
    <n v="1051"/>
    <x v="126"/>
    <x v="0"/>
    <x v="0"/>
    <s v="New"/>
    <x v="1"/>
    <x v="1"/>
    <n v="14"/>
    <n v="3710.92"/>
    <n v="51952.880000000005"/>
  </r>
  <r>
    <n v="1003"/>
    <x v="55"/>
    <x v="3"/>
    <x v="3"/>
    <s v="Returning"/>
    <x v="0"/>
    <x v="1"/>
    <n v="15"/>
    <n v="3388.84"/>
    <n v="50832.600000000006"/>
  </r>
  <r>
    <n v="1064"/>
    <x v="126"/>
    <x v="0"/>
    <x v="0"/>
    <s v="New"/>
    <x v="2"/>
    <x v="0"/>
    <n v="10"/>
    <n v="5074.42"/>
    <n v="50744.2"/>
  </r>
  <r>
    <n v="1057"/>
    <x v="102"/>
    <x v="4"/>
    <x v="2"/>
    <s v="New"/>
    <x v="1"/>
    <x v="1"/>
    <n v="25"/>
    <n v="2027.74"/>
    <n v="50693.5"/>
  </r>
  <r>
    <n v="1080"/>
    <x v="20"/>
    <x v="3"/>
    <x v="1"/>
    <s v="Returning"/>
    <x v="2"/>
    <x v="1"/>
    <n v="17"/>
    <n v="2979.64"/>
    <n v="50653.88"/>
  </r>
  <r>
    <n v="1094"/>
    <x v="64"/>
    <x v="0"/>
    <x v="0"/>
    <s v="New"/>
    <x v="1"/>
    <x v="0"/>
    <n v="25"/>
    <n v="1982.92"/>
    <n v="49573"/>
  </r>
  <r>
    <n v="1100"/>
    <x v="127"/>
    <x v="3"/>
    <x v="2"/>
    <s v="Returning"/>
    <x v="1"/>
    <x v="0"/>
    <n v="43"/>
    <n v="1137.44"/>
    <n v="48909.920000000006"/>
  </r>
  <r>
    <n v="1088"/>
    <x v="128"/>
    <x v="0"/>
    <x v="1"/>
    <s v="New"/>
    <x v="1"/>
    <x v="1"/>
    <n v="16"/>
    <n v="3040.73"/>
    <n v="48651.68"/>
  </r>
  <r>
    <n v="1075"/>
    <x v="129"/>
    <x v="4"/>
    <x v="3"/>
    <s v="New"/>
    <x v="1"/>
    <x v="0"/>
    <n v="18"/>
    <n v="2682.34"/>
    <n v="48282.12"/>
  </r>
  <r>
    <n v="1090"/>
    <x v="130"/>
    <x v="2"/>
    <x v="3"/>
    <s v="Returning"/>
    <x v="1"/>
    <x v="1"/>
    <n v="17"/>
    <n v="2839.73"/>
    <n v="48275.41"/>
  </r>
  <r>
    <n v="1085"/>
    <x v="97"/>
    <x v="4"/>
    <x v="1"/>
    <s v="Returning"/>
    <x v="0"/>
    <x v="1"/>
    <n v="32"/>
    <n v="1492.48"/>
    <n v="47759.360000000001"/>
  </r>
  <r>
    <n v="1072"/>
    <x v="68"/>
    <x v="4"/>
    <x v="1"/>
    <s v="New"/>
    <x v="1"/>
    <x v="0"/>
    <n v="23"/>
    <n v="2074.25"/>
    <n v="47707.75"/>
  </r>
  <r>
    <n v="1044"/>
    <x v="131"/>
    <x v="3"/>
    <x v="2"/>
    <s v="New"/>
    <x v="1"/>
    <x v="0"/>
    <n v="19"/>
    <n v="2504.0300000000002"/>
    <n v="47576.570000000007"/>
  </r>
  <r>
    <n v="1059"/>
    <x v="132"/>
    <x v="0"/>
    <x v="2"/>
    <s v="Returning"/>
    <x v="2"/>
    <x v="1"/>
    <n v="12"/>
    <n v="3955.75"/>
    <n v="47469"/>
  </r>
  <r>
    <n v="1047"/>
    <x v="133"/>
    <x v="1"/>
    <x v="0"/>
    <s v="Returning"/>
    <x v="0"/>
    <x v="0"/>
    <n v="33"/>
    <n v="1427.21"/>
    <n v="47097.93"/>
  </r>
  <r>
    <n v="1001"/>
    <x v="134"/>
    <x v="3"/>
    <x v="2"/>
    <s v="Returning"/>
    <x v="2"/>
    <x v="1"/>
    <n v="20"/>
    <n v="2303.6999999999998"/>
    <n v="46074"/>
  </r>
  <r>
    <n v="1006"/>
    <x v="105"/>
    <x v="3"/>
    <x v="0"/>
    <s v="New"/>
    <x v="1"/>
    <x v="1"/>
    <n v="21"/>
    <n v="2193.2199999999998"/>
    <n v="46057.619999999995"/>
  </r>
  <r>
    <n v="1051"/>
    <x v="71"/>
    <x v="3"/>
    <x v="0"/>
    <s v="Returning"/>
    <x v="2"/>
    <x v="0"/>
    <n v="12"/>
    <n v="3723.66"/>
    <n v="44683.92"/>
  </r>
  <r>
    <n v="1055"/>
    <x v="135"/>
    <x v="0"/>
    <x v="1"/>
    <s v="New"/>
    <x v="1"/>
    <x v="0"/>
    <n v="40"/>
    <n v="1111.4100000000001"/>
    <n v="44456.4"/>
  </r>
  <r>
    <n v="1056"/>
    <x v="136"/>
    <x v="1"/>
    <x v="3"/>
    <s v="Returning"/>
    <x v="1"/>
    <x v="0"/>
    <n v="28"/>
    <n v="1576.34"/>
    <n v="44137.52"/>
  </r>
  <r>
    <n v="1066"/>
    <x v="137"/>
    <x v="4"/>
    <x v="1"/>
    <s v="Returning"/>
    <x v="1"/>
    <x v="1"/>
    <n v="15"/>
    <n v="2867.36"/>
    <n v="43010.400000000001"/>
  </r>
  <r>
    <n v="1041"/>
    <x v="138"/>
    <x v="1"/>
    <x v="2"/>
    <s v="New"/>
    <x v="2"/>
    <x v="0"/>
    <n v="40"/>
    <n v="1067.53"/>
    <n v="42701.2"/>
  </r>
  <r>
    <n v="1015"/>
    <x v="139"/>
    <x v="0"/>
    <x v="1"/>
    <s v="Returning"/>
    <x v="2"/>
    <x v="1"/>
    <n v="32"/>
    <n v="1330.84"/>
    <n v="42586.879999999997"/>
  </r>
  <r>
    <n v="1003"/>
    <x v="140"/>
    <x v="0"/>
    <x v="2"/>
    <s v="New"/>
    <x v="0"/>
    <x v="1"/>
    <n v="11"/>
    <n v="3862.26"/>
    <n v="42484.86"/>
  </r>
  <r>
    <n v="1062"/>
    <x v="141"/>
    <x v="3"/>
    <x v="2"/>
    <s v="New"/>
    <x v="2"/>
    <x v="0"/>
    <n v="36"/>
    <n v="1167.33"/>
    <n v="42023.88"/>
  </r>
  <r>
    <n v="1038"/>
    <x v="142"/>
    <x v="3"/>
    <x v="3"/>
    <s v="Returning"/>
    <x v="2"/>
    <x v="0"/>
    <n v="15"/>
    <n v="2790.1"/>
    <n v="41851.5"/>
  </r>
  <r>
    <n v="1008"/>
    <x v="143"/>
    <x v="0"/>
    <x v="0"/>
    <s v="Returning"/>
    <x v="1"/>
    <x v="1"/>
    <n v="24"/>
    <n v="1739.45"/>
    <n v="41746.800000000003"/>
  </r>
  <r>
    <n v="1019"/>
    <x v="144"/>
    <x v="0"/>
    <x v="2"/>
    <s v="New"/>
    <x v="2"/>
    <x v="0"/>
    <n v="13"/>
    <n v="3202.68"/>
    <n v="41634.839999999997"/>
  </r>
  <r>
    <n v="1034"/>
    <x v="9"/>
    <x v="0"/>
    <x v="3"/>
    <s v="Returning"/>
    <x v="0"/>
    <x v="1"/>
    <n v="19"/>
    <n v="2180.83"/>
    <n v="41435.769999999997"/>
  </r>
  <r>
    <n v="1081"/>
    <x v="145"/>
    <x v="3"/>
    <x v="2"/>
    <s v="Returning"/>
    <x v="2"/>
    <x v="0"/>
    <n v="44"/>
    <n v="938.04"/>
    <n v="41273.759999999995"/>
  </r>
  <r>
    <n v="1097"/>
    <x v="61"/>
    <x v="2"/>
    <x v="2"/>
    <s v="Returning"/>
    <x v="0"/>
    <x v="1"/>
    <n v="9"/>
    <n v="4548.09"/>
    <n v="40932.81"/>
  </r>
  <r>
    <n v="1002"/>
    <x v="146"/>
    <x v="0"/>
    <x v="0"/>
    <s v="New"/>
    <x v="1"/>
    <x v="0"/>
    <n v="9"/>
    <n v="4439.12"/>
    <n v="39952.080000000002"/>
  </r>
  <r>
    <n v="1023"/>
    <x v="26"/>
    <x v="0"/>
    <x v="3"/>
    <s v="Returning"/>
    <x v="2"/>
    <x v="1"/>
    <n v="9"/>
    <n v="4273.6000000000004"/>
    <n v="38462.400000000001"/>
  </r>
  <r>
    <n v="1092"/>
    <x v="147"/>
    <x v="3"/>
    <x v="3"/>
    <s v="New"/>
    <x v="0"/>
    <x v="1"/>
    <n v="13"/>
    <n v="2913.78"/>
    <n v="37879.14"/>
  </r>
  <r>
    <n v="1040"/>
    <x v="114"/>
    <x v="4"/>
    <x v="3"/>
    <s v="Returning"/>
    <x v="0"/>
    <x v="0"/>
    <n v="13"/>
    <n v="2882.85"/>
    <n v="37477.049999999996"/>
  </r>
  <r>
    <n v="1042"/>
    <x v="148"/>
    <x v="2"/>
    <x v="0"/>
    <s v="Returning"/>
    <x v="0"/>
    <x v="1"/>
    <n v="23"/>
    <n v="1567.78"/>
    <n v="36058.94"/>
  </r>
  <r>
    <n v="1058"/>
    <x v="57"/>
    <x v="2"/>
    <x v="1"/>
    <s v="Returning"/>
    <x v="1"/>
    <x v="1"/>
    <n v="33"/>
    <n v="1084.28"/>
    <n v="35781.24"/>
  </r>
  <r>
    <n v="1021"/>
    <x v="58"/>
    <x v="4"/>
    <x v="2"/>
    <s v="New"/>
    <x v="2"/>
    <x v="0"/>
    <n v="32"/>
    <n v="1106.51"/>
    <n v="35408.32"/>
  </r>
  <r>
    <n v="1064"/>
    <x v="49"/>
    <x v="3"/>
    <x v="0"/>
    <s v="Returning"/>
    <x v="2"/>
    <x v="0"/>
    <n v="8"/>
    <n v="4417.79"/>
    <n v="35342.32"/>
  </r>
  <r>
    <n v="1094"/>
    <x v="117"/>
    <x v="3"/>
    <x v="2"/>
    <s v="Returning"/>
    <x v="0"/>
    <x v="1"/>
    <n v="49"/>
    <n v="715.84"/>
    <n v="35076.160000000003"/>
  </r>
  <r>
    <n v="1001"/>
    <x v="96"/>
    <x v="1"/>
    <x v="3"/>
    <s v="Returning"/>
    <x v="0"/>
    <x v="1"/>
    <n v="27"/>
    <n v="1286.92"/>
    <n v="34746.840000000004"/>
  </r>
  <r>
    <n v="1037"/>
    <x v="53"/>
    <x v="4"/>
    <x v="2"/>
    <s v="Returning"/>
    <x v="0"/>
    <x v="1"/>
    <n v="25"/>
    <n v="1382.43"/>
    <n v="34560.75"/>
  </r>
  <r>
    <n v="1009"/>
    <x v="104"/>
    <x v="0"/>
    <x v="3"/>
    <s v="Returning"/>
    <x v="1"/>
    <x v="1"/>
    <n v="47"/>
    <n v="733"/>
    <n v="34451"/>
  </r>
  <r>
    <n v="1077"/>
    <x v="149"/>
    <x v="0"/>
    <x v="0"/>
    <s v="Returning"/>
    <x v="1"/>
    <x v="1"/>
    <n v="35"/>
    <n v="970.49"/>
    <n v="33967.15"/>
  </r>
  <r>
    <n v="1054"/>
    <x v="12"/>
    <x v="1"/>
    <x v="2"/>
    <s v="Returning"/>
    <x v="1"/>
    <x v="1"/>
    <n v="8"/>
    <n v="4177.0600000000004"/>
    <n v="33416.480000000003"/>
  </r>
  <r>
    <n v="1070"/>
    <x v="150"/>
    <x v="2"/>
    <x v="3"/>
    <s v="Returning"/>
    <x v="1"/>
    <x v="0"/>
    <n v="8"/>
    <n v="4166.95"/>
    <n v="33335.599999999999"/>
  </r>
  <r>
    <n v="1011"/>
    <x v="94"/>
    <x v="0"/>
    <x v="0"/>
    <s v="Returning"/>
    <x v="2"/>
    <x v="1"/>
    <n v="22"/>
    <n v="1510.3"/>
    <n v="33226.6"/>
  </r>
  <r>
    <n v="1048"/>
    <x v="151"/>
    <x v="3"/>
    <x v="3"/>
    <s v="Returning"/>
    <x v="0"/>
    <x v="1"/>
    <n v="7"/>
    <n v="4723.2"/>
    <n v="33062.400000000001"/>
  </r>
  <r>
    <n v="1013"/>
    <x v="45"/>
    <x v="1"/>
    <x v="0"/>
    <s v="Returning"/>
    <x v="1"/>
    <x v="0"/>
    <n v="20"/>
    <n v="1649.74"/>
    <n v="32994.800000000003"/>
  </r>
  <r>
    <n v="1077"/>
    <x v="62"/>
    <x v="0"/>
    <x v="3"/>
    <s v="New"/>
    <x v="0"/>
    <x v="1"/>
    <n v="12"/>
    <n v="2743.09"/>
    <n v="32917.08"/>
  </r>
  <r>
    <n v="1075"/>
    <x v="3"/>
    <x v="1"/>
    <x v="1"/>
    <s v="New"/>
    <x v="1"/>
    <x v="0"/>
    <n v="30"/>
    <n v="1095.45"/>
    <n v="32863.5"/>
  </r>
  <r>
    <n v="1062"/>
    <x v="152"/>
    <x v="0"/>
    <x v="3"/>
    <s v="Returning"/>
    <x v="1"/>
    <x v="1"/>
    <n v="26"/>
    <n v="1263.49"/>
    <n v="32850.74"/>
  </r>
  <r>
    <n v="1033"/>
    <x v="153"/>
    <x v="2"/>
    <x v="3"/>
    <s v="New"/>
    <x v="1"/>
    <x v="0"/>
    <n v="24"/>
    <n v="1367.76"/>
    <n v="32826.239999999998"/>
  </r>
  <r>
    <n v="1099"/>
    <x v="143"/>
    <x v="4"/>
    <x v="2"/>
    <s v="Returning"/>
    <x v="0"/>
    <x v="0"/>
    <n v="14"/>
    <n v="2341.4699999999998"/>
    <n v="32780.579999999994"/>
  </r>
  <r>
    <n v="1088"/>
    <x v="138"/>
    <x v="0"/>
    <x v="1"/>
    <s v="New"/>
    <x v="1"/>
    <x v="1"/>
    <n v="13"/>
    <n v="2517.6"/>
    <n v="32728.799999999999"/>
  </r>
  <r>
    <n v="1026"/>
    <x v="154"/>
    <x v="2"/>
    <x v="0"/>
    <s v="New"/>
    <x v="0"/>
    <x v="1"/>
    <n v="19"/>
    <n v="1715.83"/>
    <n v="32600.769999999997"/>
  </r>
  <r>
    <n v="1088"/>
    <x v="104"/>
    <x v="4"/>
    <x v="1"/>
    <s v="New"/>
    <x v="2"/>
    <x v="1"/>
    <n v="29"/>
    <n v="1107.45"/>
    <n v="32116.050000000003"/>
  </r>
  <r>
    <n v="1095"/>
    <x v="155"/>
    <x v="2"/>
    <x v="0"/>
    <s v="New"/>
    <x v="0"/>
    <x v="1"/>
    <n v="37"/>
    <n v="860.95"/>
    <n v="31855.15"/>
  </r>
  <r>
    <n v="1059"/>
    <x v="26"/>
    <x v="3"/>
    <x v="0"/>
    <s v="New"/>
    <x v="0"/>
    <x v="1"/>
    <n v="13"/>
    <n v="2437.6999999999998"/>
    <n v="31690.1"/>
  </r>
  <r>
    <n v="1036"/>
    <x v="35"/>
    <x v="2"/>
    <x v="1"/>
    <s v="Returning"/>
    <x v="0"/>
    <x v="0"/>
    <n v="17"/>
    <n v="1840.77"/>
    <n v="31293.09"/>
  </r>
  <r>
    <n v="1055"/>
    <x v="60"/>
    <x v="4"/>
    <x v="1"/>
    <s v="Returning"/>
    <x v="1"/>
    <x v="0"/>
    <n v="8"/>
    <n v="3838.42"/>
    <n v="30707.360000000001"/>
  </r>
  <r>
    <n v="1062"/>
    <x v="156"/>
    <x v="4"/>
    <x v="0"/>
    <s v="Returning"/>
    <x v="0"/>
    <x v="0"/>
    <n v="10"/>
    <n v="3054.79"/>
    <n v="30547.9"/>
  </r>
  <r>
    <n v="1009"/>
    <x v="106"/>
    <x v="3"/>
    <x v="3"/>
    <s v="Returning"/>
    <x v="2"/>
    <x v="0"/>
    <n v="33"/>
    <n v="918.17"/>
    <n v="30299.609999999997"/>
  </r>
  <r>
    <n v="1001"/>
    <x v="157"/>
    <x v="2"/>
    <x v="0"/>
    <s v="New"/>
    <x v="1"/>
    <x v="1"/>
    <n v="8"/>
    <n v="3729.27"/>
    <n v="29834.16"/>
  </r>
  <r>
    <n v="1078"/>
    <x v="138"/>
    <x v="1"/>
    <x v="1"/>
    <s v="Returning"/>
    <x v="1"/>
    <x v="0"/>
    <n v="8"/>
    <n v="3657.23"/>
    <n v="29257.84"/>
  </r>
  <r>
    <n v="1018"/>
    <x v="158"/>
    <x v="0"/>
    <x v="3"/>
    <s v="New"/>
    <x v="1"/>
    <x v="1"/>
    <n v="28"/>
    <n v="1043.45"/>
    <n v="29216.600000000002"/>
  </r>
  <r>
    <n v="1039"/>
    <x v="111"/>
    <x v="3"/>
    <x v="3"/>
    <s v="Returning"/>
    <x v="0"/>
    <x v="0"/>
    <n v="8"/>
    <n v="3609.34"/>
    <n v="28874.720000000001"/>
  </r>
  <r>
    <n v="1062"/>
    <x v="159"/>
    <x v="3"/>
    <x v="0"/>
    <s v="Returning"/>
    <x v="1"/>
    <x v="0"/>
    <n v="28"/>
    <n v="1004.7"/>
    <n v="28131.600000000002"/>
  </r>
  <r>
    <n v="1003"/>
    <x v="112"/>
    <x v="0"/>
    <x v="0"/>
    <s v="Returning"/>
    <x v="2"/>
    <x v="0"/>
    <n v="15"/>
    <n v="1870.88"/>
    <n v="28063.200000000001"/>
  </r>
  <r>
    <n v="1018"/>
    <x v="160"/>
    <x v="2"/>
    <x v="3"/>
    <s v="Returning"/>
    <x v="2"/>
    <x v="0"/>
    <n v="11"/>
    <n v="2519.0700000000002"/>
    <n v="27709.77"/>
  </r>
  <r>
    <n v="1082"/>
    <x v="161"/>
    <x v="4"/>
    <x v="3"/>
    <s v="Returning"/>
    <x v="0"/>
    <x v="0"/>
    <n v="15"/>
    <n v="1832.6"/>
    <n v="27489"/>
  </r>
  <r>
    <n v="1019"/>
    <x v="112"/>
    <x v="1"/>
    <x v="3"/>
    <s v="New"/>
    <x v="0"/>
    <x v="1"/>
    <n v="14"/>
    <n v="1882.79"/>
    <n v="26359.059999999998"/>
  </r>
  <r>
    <n v="1032"/>
    <x v="38"/>
    <x v="2"/>
    <x v="3"/>
    <s v="Returning"/>
    <x v="0"/>
    <x v="1"/>
    <n v="17"/>
    <n v="1528.59"/>
    <n v="25986.03"/>
  </r>
  <r>
    <n v="1035"/>
    <x v="162"/>
    <x v="3"/>
    <x v="3"/>
    <s v="Returning"/>
    <x v="0"/>
    <x v="1"/>
    <n v="9"/>
    <n v="2755.56"/>
    <n v="24800.04"/>
  </r>
  <r>
    <n v="1050"/>
    <x v="159"/>
    <x v="2"/>
    <x v="1"/>
    <s v="New"/>
    <x v="0"/>
    <x v="1"/>
    <n v="6"/>
    <n v="4102.72"/>
    <n v="24616.32"/>
  </r>
  <r>
    <n v="1012"/>
    <x v="97"/>
    <x v="0"/>
    <x v="3"/>
    <s v="Returning"/>
    <x v="1"/>
    <x v="1"/>
    <n v="6"/>
    <n v="4082.62"/>
    <n v="24495.72"/>
  </r>
  <r>
    <n v="1011"/>
    <x v="163"/>
    <x v="3"/>
    <x v="0"/>
    <s v="Returning"/>
    <x v="2"/>
    <x v="0"/>
    <n v="13"/>
    <n v="1882.57"/>
    <n v="24473.41"/>
  </r>
  <r>
    <n v="1044"/>
    <x v="164"/>
    <x v="4"/>
    <x v="3"/>
    <s v="New"/>
    <x v="2"/>
    <x v="0"/>
    <n v="11"/>
    <n v="2196.3000000000002"/>
    <n v="24159.300000000003"/>
  </r>
  <r>
    <n v="1071"/>
    <x v="42"/>
    <x v="1"/>
    <x v="3"/>
    <s v="New"/>
    <x v="0"/>
    <x v="0"/>
    <n v="35"/>
    <n v="684.67"/>
    <n v="23963.449999999997"/>
  </r>
  <r>
    <n v="1096"/>
    <x v="79"/>
    <x v="0"/>
    <x v="0"/>
    <s v="New"/>
    <x v="2"/>
    <x v="1"/>
    <n v="23"/>
    <n v="1032.22"/>
    <n v="23741.06"/>
  </r>
  <r>
    <n v="1053"/>
    <x v="109"/>
    <x v="3"/>
    <x v="1"/>
    <s v="New"/>
    <x v="2"/>
    <x v="1"/>
    <n v="48"/>
    <n v="487.65"/>
    <n v="23407.199999999997"/>
  </r>
  <r>
    <n v="1003"/>
    <x v="65"/>
    <x v="4"/>
    <x v="1"/>
    <s v="Returning"/>
    <x v="2"/>
    <x v="0"/>
    <n v="27"/>
    <n v="853.66"/>
    <n v="23048.82"/>
  </r>
  <r>
    <n v="1044"/>
    <x v="165"/>
    <x v="4"/>
    <x v="0"/>
    <s v="New"/>
    <x v="0"/>
    <x v="0"/>
    <n v="6"/>
    <n v="3840.24"/>
    <n v="23041.439999999999"/>
  </r>
  <r>
    <n v="1022"/>
    <x v="31"/>
    <x v="1"/>
    <x v="0"/>
    <s v="New"/>
    <x v="2"/>
    <x v="0"/>
    <n v="9"/>
    <n v="2558.9499999999998"/>
    <n v="23030.55"/>
  </r>
  <r>
    <n v="1065"/>
    <x v="140"/>
    <x v="3"/>
    <x v="2"/>
    <s v="New"/>
    <x v="1"/>
    <x v="1"/>
    <n v="18"/>
    <n v="1273.98"/>
    <n v="22931.64"/>
  </r>
  <r>
    <n v="1087"/>
    <x v="57"/>
    <x v="0"/>
    <x v="1"/>
    <s v="New"/>
    <x v="2"/>
    <x v="0"/>
    <n v="43"/>
    <n v="531.02"/>
    <n v="22833.86"/>
  </r>
  <r>
    <n v="1007"/>
    <x v="166"/>
    <x v="1"/>
    <x v="1"/>
    <s v="New"/>
    <x v="2"/>
    <x v="1"/>
    <n v="14"/>
    <n v="1608.76"/>
    <n v="22522.639999999999"/>
  </r>
  <r>
    <n v="1035"/>
    <x v="93"/>
    <x v="2"/>
    <x v="3"/>
    <s v="New"/>
    <x v="0"/>
    <x v="1"/>
    <n v="5"/>
    <n v="4454.97"/>
    <n v="22274.850000000002"/>
  </r>
  <r>
    <n v="1019"/>
    <x v="164"/>
    <x v="1"/>
    <x v="2"/>
    <s v="New"/>
    <x v="1"/>
    <x v="0"/>
    <n v="31"/>
    <n v="685.1"/>
    <n v="21238.100000000002"/>
  </r>
  <r>
    <n v="1060"/>
    <x v="167"/>
    <x v="1"/>
    <x v="1"/>
    <s v="Returning"/>
    <x v="2"/>
    <x v="1"/>
    <n v="5"/>
    <n v="4096.4799999999996"/>
    <n v="20482.399999999998"/>
  </r>
  <r>
    <n v="1002"/>
    <x v="78"/>
    <x v="3"/>
    <x v="2"/>
    <s v="Returning"/>
    <x v="2"/>
    <x v="0"/>
    <n v="21"/>
    <n v="971.57"/>
    <n v="20402.97"/>
  </r>
  <r>
    <n v="1037"/>
    <x v="168"/>
    <x v="2"/>
    <x v="2"/>
    <s v="New"/>
    <x v="2"/>
    <x v="1"/>
    <n v="4"/>
    <n v="5017.58"/>
    <n v="20070.32"/>
  </r>
  <r>
    <n v="1099"/>
    <x v="117"/>
    <x v="1"/>
    <x v="1"/>
    <s v="New"/>
    <x v="0"/>
    <x v="0"/>
    <n v="10"/>
    <n v="1955.56"/>
    <n v="19555.599999999999"/>
  </r>
  <r>
    <n v="1071"/>
    <x v="169"/>
    <x v="0"/>
    <x v="1"/>
    <s v="Returning"/>
    <x v="1"/>
    <x v="1"/>
    <n v="6"/>
    <n v="3206.98"/>
    <n v="19241.88"/>
  </r>
  <r>
    <n v="1024"/>
    <x v="170"/>
    <x v="0"/>
    <x v="1"/>
    <s v="Returning"/>
    <x v="0"/>
    <x v="1"/>
    <n v="5"/>
    <n v="3714.52"/>
    <n v="18572.599999999999"/>
  </r>
  <r>
    <n v="1062"/>
    <x v="171"/>
    <x v="2"/>
    <x v="1"/>
    <s v="Returning"/>
    <x v="1"/>
    <x v="1"/>
    <n v="12"/>
    <n v="1545"/>
    <n v="18540"/>
  </r>
  <r>
    <n v="1098"/>
    <x v="128"/>
    <x v="0"/>
    <x v="1"/>
    <s v="New"/>
    <x v="1"/>
    <x v="0"/>
    <n v="21"/>
    <n v="828.95"/>
    <n v="17407.95"/>
  </r>
  <r>
    <n v="1072"/>
    <x v="140"/>
    <x v="2"/>
    <x v="3"/>
    <s v="New"/>
    <x v="0"/>
    <x v="1"/>
    <n v="25"/>
    <n v="693.4"/>
    <n v="17335"/>
  </r>
  <r>
    <n v="1062"/>
    <x v="157"/>
    <x v="0"/>
    <x v="0"/>
    <s v="New"/>
    <x v="1"/>
    <x v="1"/>
    <n v="9"/>
    <n v="1838.21"/>
    <n v="16543.89"/>
  </r>
  <r>
    <n v="1044"/>
    <x v="172"/>
    <x v="4"/>
    <x v="1"/>
    <s v="Returning"/>
    <x v="0"/>
    <x v="1"/>
    <n v="6"/>
    <n v="2742.97"/>
    <n v="16457.82"/>
  </r>
  <r>
    <n v="1087"/>
    <x v="173"/>
    <x v="3"/>
    <x v="3"/>
    <s v="New"/>
    <x v="0"/>
    <x v="1"/>
    <n v="28"/>
    <n v="569.63"/>
    <n v="15949.64"/>
  </r>
  <r>
    <n v="1002"/>
    <x v="174"/>
    <x v="4"/>
    <x v="2"/>
    <s v="New"/>
    <x v="0"/>
    <x v="1"/>
    <n v="26"/>
    <n v="557.69000000000005"/>
    <n v="14499.940000000002"/>
  </r>
  <r>
    <n v="1062"/>
    <x v="175"/>
    <x v="4"/>
    <x v="1"/>
    <s v="New"/>
    <x v="2"/>
    <x v="1"/>
    <n v="46"/>
    <n v="303.36"/>
    <n v="13954.560000000001"/>
  </r>
  <r>
    <n v="1080"/>
    <x v="176"/>
    <x v="4"/>
    <x v="0"/>
    <s v="New"/>
    <x v="0"/>
    <x v="1"/>
    <n v="9"/>
    <n v="1550.19"/>
    <n v="13951.710000000001"/>
  </r>
  <r>
    <n v="1048"/>
    <x v="177"/>
    <x v="2"/>
    <x v="1"/>
    <s v="New"/>
    <x v="0"/>
    <x v="0"/>
    <n v="6"/>
    <n v="2309.4299999999998"/>
    <n v="13856.579999999998"/>
  </r>
  <r>
    <n v="1024"/>
    <x v="178"/>
    <x v="0"/>
    <x v="2"/>
    <s v="Returning"/>
    <x v="1"/>
    <x v="1"/>
    <n v="21"/>
    <n v="641.09"/>
    <n v="13462.890000000001"/>
  </r>
  <r>
    <n v="1009"/>
    <x v="141"/>
    <x v="3"/>
    <x v="2"/>
    <s v="Returning"/>
    <x v="0"/>
    <x v="1"/>
    <n v="14"/>
    <n v="958.76"/>
    <n v="13422.64"/>
  </r>
  <r>
    <n v="1065"/>
    <x v="107"/>
    <x v="2"/>
    <x v="1"/>
    <s v="New"/>
    <x v="1"/>
    <x v="1"/>
    <n v="3"/>
    <n v="4362.4399999999996"/>
    <n v="13087.32"/>
  </r>
  <r>
    <n v="1093"/>
    <x v="179"/>
    <x v="3"/>
    <x v="1"/>
    <s v="Returning"/>
    <x v="0"/>
    <x v="1"/>
    <n v="17"/>
    <n v="764.54"/>
    <n v="12997.18"/>
  </r>
  <r>
    <n v="1027"/>
    <x v="66"/>
    <x v="3"/>
    <x v="2"/>
    <s v="Returning"/>
    <x v="2"/>
    <x v="1"/>
    <n v="26"/>
    <n v="477.67"/>
    <n v="12419.42"/>
  </r>
  <r>
    <n v="1023"/>
    <x v="65"/>
    <x v="4"/>
    <x v="0"/>
    <s v="Returning"/>
    <x v="0"/>
    <x v="1"/>
    <n v="5"/>
    <n v="2482.34"/>
    <n v="12411.7"/>
  </r>
  <r>
    <n v="1045"/>
    <x v="105"/>
    <x v="3"/>
    <x v="0"/>
    <s v="New"/>
    <x v="1"/>
    <x v="0"/>
    <n v="15"/>
    <n v="799.04"/>
    <n v="11985.599999999999"/>
  </r>
  <r>
    <n v="1048"/>
    <x v="180"/>
    <x v="4"/>
    <x v="1"/>
    <s v="New"/>
    <x v="0"/>
    <x v="1"/>
    <n v="4"/>
    <n v="2910.51"/>
    <n v="11642.04"/>
  </r>
  <r>
    <n v="1008"/>
    <x v="181"/>
    <x v="4"/>
    <x v="0"/>
    <s v="Returning"/>
    <x v="0"/>
    <x v="1"/>
    <n v="27"/>
    <n v="429.29"/>
    <n v="11590.83"/>
  </r>
  <r>
    <n v="1003"/>
    <x v="182"/>
    <x v="2"/>
    <x v="1"/>
    <s v="Returning"/>
    <x v="2"/>
    <x v="1"/>
    <n v="17"/>
    <n v="676.66"/>
    <n v="11503.22"/>
  </r>
  <r>
    <n v="1034"/>
    <x v="22"/>
    <x v="2"/>
    <x v="3"/>
    <s v="New"/>
    <x v="2"/>
    <x v="0"/>
    <n v="3"/>
    <n v="3732"/>
    <n v="11196"/>
  </r>
  <r>
    <n v="1015"/>
    <x v="183"/>
    <x v="1"/>
    <x v="2"/>
    <s v="Returning"/>
    <x v="1"/>
    <x v="1"/>
    <n v="30"/>
    <n v="371.4"/>
    <n v="11142"/>
  </r>
  <r>
    <n v="1033"/>
    <x v="117"/>
    <x v="3"/>
    <x v="3"/>
    <s v="Returning"/>
    <x v="2"/>
    <x v="1"/>
    <n v="14"/>
    <n v="753.81"/>
    <n v="10553.34"/>
  </r>
  <r>
    <n v="1070"/>
    <x v="13"/>
    <x v="0"/>
    <x v="1"/>
    <s v="Returning"/>
    <x v="1"/>
    <x v="1"/>
    <n v="12"/>
    <n v="863.03"/>
    <n v="10356.36"/>
  </r>
  <r>
    <n v="1005"/>
    <x v="166"/>
    <x v="2"/>
    <x v="0"/>
    <s v="New"/>
    <x v="0"/>
    <x v="1"/>
    <n v="12"/>
    <n v="802.43"/>
    <n v="9629.16"/>
  </r>
  <r>
    <n v="1061"/>
    <x v="184"/>
    <x v="4"/>
    <x v="0"/>
    <s v="New"/>
    <x v="0"/>
    <x v="0"/>
    <n v="13"/>
    <n v="692.71"/>
    <n v="9005.23"/>
  </r>
  <r>
    <n v="1042"/>
    <x v="185"/>
    <x v="2"/>
    <x v="2"/>
    <s v="Returning"/>
    <x v="2"/>
    <x v="0"/>
    <n v="11"/>
    <n v="814.14"/>
    <n v="8955.5399999999991"/>
  </r>
  <r>
    <n v="1005"/>
    <x v="186"/>
    <x v="2"/>
    <x v="3"/>
    <s v="New"/>
    <x v="0"/>
    <x v="0"/>
    <n v="12"/>
    <n v="683.78"/>
    <n v="8205.36"/>
  </r>
  <r>
    <n v="1062"/>
    <x v="129"/>
    <x v="3"/>
    <x v="0"/>
    <s v="Returning"/>
    <x v="2"/>
    <x v="0"/>
    <n v="4"/>
    <n v="2034.15"/>
    <n v="8136.6"/>
  </r>
  <r>
    <n v="1052"/>
    <x v="125"/>
    <x v="4"/>
    <x v="1"/>
    <s v="Returning"/>
    <x v="1"/>
    <x v="0"/>
    <n v="2"/>
    <n v="4017.91"/>
    <n v="8035.82"/>
  </r>
  <r>
    <n v="1043"/>
    <x v="47"/>
    <x v="3"/>
    <x v="0"/>
    <s v="New"/>
    <x v="1"/>
    <x v="0"/>
    <n v="3"/>
    <n v="2186.42"/>
    <n v="6559.26"/>
  </r>
  <r>
    <n v="1051"/>
    <x v="21"/>
    <x v="0"/>
    <x v="3"/>
    <s v="New"/>
    <x v="0"/>
    <x v="0"/>
    <n v="8"/>
    <n v="792.21"/>
    <n v="6337.68"/>
  </r>
  <r>
    <n v="1004"/>
    <x v="187"/>
    <x v="2"/>
    <x v="0"/>
    <s v="Returning"/>
    <x v="0"/>
    <x v="1"/>
    <n v="2"/>
    <n v="2977.52"/>
    <n v="5955.04"/>
  </r>
  <r>
    <n v="1063"/>
    <x v="188"/>
    <x v="3"/>
    <x v="0"/>
    <s v="Returning"/>
    <x v="1"/>
    <x v="1"/>
    <n v="4"/>
    <n v="1475.29"/>
    <n v="5901.16"/>
  </r>
  <r>
    <n v="1028"/>
    <x v="74"/>
    <x v="2"/>
    <x v="2"/>
    <s v="Returning"/>
    <x v="0"/>
    <x v="0"/>
    <n v="5"/>
    <n v="991.21"/>
    <n v="4956.05"/>
  </r>
  <r>
    <n v="1086"/>
    <x v="189"/>
    <x v="3"/>
    <x v="0"/>
    <s v="New"/>
    <x v="2"/>
    <x v="0"/>
    <n v="3"/>
    <n v="1625.71"/>
    <n v="4877.13"/>
  </r>
  <r>
    <n v="1052"/>
    <x v="190"/>
    <x v="3"/>
    <x v="1"/>
    <s v="Returning"/>
    <x v="2"/>
    <x v="0"/>
    <n v="18"/>
    <n v="267.22000000000003"/>
    <n v="4809.9600000000009"/>
  </r>
  <r>
    <n v="1063"/>
    <x v="109"/>
    <x v="4"/>
    <x v="3"/>
    <s v="New"/>
    <x v="1"/>
    <x v="1"/>
    <n v="4"/>
    <n v="1201.3900000000001"/>
    <n v="4805.5600000000004"/>
  </r>
  <r>
    <n v="1012"/>
    <x v="74"/>
    <x v="3"/>
    <x v="2"/>
    <s v="Returning"/>
    <x v="1"/>
    <x v="0"/>
    <n v="1"/>
    <n v="4528.7700000000004"/>
    <n v="4528.7700000000004"/>
  </r>
  <r>
    <n v="1096"/>
    <x v="70"/>
    <x v="4"/>
    <x v="1"/>
    <s v="New"/>
    <x v="0"/>
    <x v="1"/>
    <n v="6"/>
    <n v="742"/>
    <n v="4452"/>
  </r>
  <r>
    <n v="1052"/>
    <x v="22"/>
    <x v="1"/>
    <x v="1"/>
    <s v="Returning"/>
    <x v="1"/>
    <x v="1"/>
    <n v="5"/>
    <n v="856.91"/>
    <n v="4284.55"/>
  </r>
  <r>
    <n v="1027"/>
    <x v="62"/>
    <x v="3"/>
    <x v="2"/>
    <s v="New"/>
    <x v="0"/>
    <x v="0"/>
    <n v="3"/>
    <n v="1271.99"/>
    <n v="3815.9700000000003"/>
  </r>
  <r>
    <n v="1049"/>
    <x v="23"/>
    <x v="2"/>
    <x v="1"/>
    <s v="Returning"/>
    <x v="1"/>
    <x v="0"/>
    <n v="1"/>
    <n v="3317.75"/>
    <n v="3317.75"/>
  </r>
  <r>
    <n v="1015"/>
    <x v="138"/>
    <x v="0"/>
    <x v="1"/>
    <s v="New"/>
    <x v="1"/>
    <x v="1"/>
    <n v="1"/>
    <n v="3027.74"/>
    <n v="3027.74"/>
  </r>
  <r>
    <n v="1007"/>
    <x v="40"/>
    <x v="0"/>
    <x v="2"/>
    <s v="Returning"/>
    <x v="0"/>
    <x v="0"/>
    <n v="1"/>
    <n v="2637.91"/>
    <n v="2637.91"/>
  </r>
  <r>
    <n v="1100"/>
    <x v="191"/>
    <x v="0"/>
    <x v="1"/>
    <s v="New"/>
    <x v="1"/>
    <x v="0"/>
    <n v="2"/>
    <n v="1189.3499999999999"/>
    <n v="2378.6999999999998"/>
  </r>
  <r>
    <n v="1023"/>
    <x v="145"/>
    <x v="2"/>
    <x v="3"/>
    <s v="Returning"/>
    <x v="1"/>
    <x v="0"/>
    <n v="2"/>
    <n v="914.77"/>
    <n v="1829.54"/>
  </r>
  <r>
    <n v="1038"/>
    <x v="88"/>
    <x v="1"/>
    <x v="2"/>
    <s v="Returning"/>
    <x v="0"/>
    <x v="0"/>
    <n v="1"/>
    <n v="1709.71"/>
    <n v="1709.71"/>
  </r>
  <r>
    <n v="1032"/>
    <x v="191"/>
    <x v="2"/>
    <x v="2"/>
    <s v="Returning"/>
    <x v="1"/>
    <x v="1"/>
    <n v="1"/>
    <n v="865.76"/>
    <n v="865.76"/>
  </r>
  <r>
    <n v="1017"/>
    <x v="192"/>
    <x v="1"/>
    <x v="2"/>
    <s v="Returning"/>
    <x v="1"/>
    <x v="0"/>
    <n v="1"/>
    <n v="404.69"/>
    <n v="404.69"/>
  </r>
  <r>
    <n v="1004"/>
    <x v="171"/>
    <x v="2"/>
    <x v="2"/>
    <s v="Returning"/>
    <x v="1"/>
    <x v="1"/>
    <n v="1"/>
    <n v="211.18"/>
    <n v="211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5992A-83D2-4878-A9CD-D82812ECCE5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5" firstHeaderRow="1" firstDataRow="1" firstDataCol="1"/>
  <pivotFields count="12">
    <pivotField numFmtId="1" showAll="0"/>
    <pivotField numFmtId="14" showAll="0">
      <items count="194">
        <item x="13"/>
        <item x="126"/>
        <item x="145"/>
        <item x="17"/>
        <item x="64"/>
        <item x="149"/>
        <item x="130"/>
        <item x="153"/>
        <item x="66"/>
        <item x="11"/>
        <item x="83"/>
        <item x="151"/>
        <item x="15"/>
        <item x="53"/>
        <item x="94"/>
        <item x="160"/>
        <item x="147"/>
        <item x="185"/>
        <item x="119"/>
        <item x="190"/>
        <item x="154"/>
        <item x="176"/>
        <item x="62"/>
        <item x="30"/>
        <item x="98"/>
        <item x="58"/>
        <item x="100"/>
        <item x="96"/>
        <item x="174"/>
        <item x="92"/>
        <item x="84"/>
        <item x="40"/>
        <item x="117"/>
        <item x="186"/>
        <item x="114"/>
        <item x="142"/>
        <item x="1"/>
        <item x="67"/>
        <item x="162"/>
        <item x="184"/>
        <item x="59"/>
        <item x="48"/>
        <item x="166"/>
        <item x="28"/>
        <item x="132"/>
        <item x="71"/>
        <item x="57"/>
        <item x="95"/>
        <item x="78"/>
        <item x="22"/>
        <item x="91"/>
        <item x="54"/>
        <item x="104"/>
        <item x="146"/>
        <item x="72"/>
        <item x="24"/>
        <item x="76"/>
        <item x="65"/>
        <item x="81"/>
        <item x="152"/>
        <item x="136"/>
        <item x="179"/>
        <item x="9"/>
        <item x="122"/>
        <item x="27"/>
        <item x="49"/>
        <item x="175"/>
        <item x="23"/>
        <item x="34"/>
        <item x="87"/>
        <item x="169"/>
        <item x="32"/>
        <item x="6"/>
        <item x="131"/>
        <item x="144"/>
        <item x="82"/>
        <item x="159"/>
        <item x="135"/>
        <item x="90"/>
        <item x="31"/>
        <item x="189"/>
        <item x="111"/>
        <item x="161"/>
        <item x="105"/>
        <item x="168"/>
        <item x="0"/>
        <item x="70"/>
        <item x="19"/>
        <item x="172"/>
        <item x="39"/>
        <item x="158"/>
        <item x="2"/>
        <item x="42"/>
        <item x="187"/>
        <item x="26"/>
        <item x="3"/>
        <item x="35"/>
        <item x="137"/>
        <item x="148"/>
        <item x="14"/>
        <item x="37"/>
        <item x="112"/>
        <item x="156"/>
        <item x="192"/>
        <item x="36"/>
        <item x="25"/>
        <item x="177"/>
        <item x="80"/>
        <item x="188"/>
        <item x="51"/>
        <item x="134"/>
        <item x="46"/>
        <item x="108"/>
        <item x="133"/>
        <item x="139"/>
        <item x="167"/>
        <item x="93"/>
        <item x="127"/>
        <item x="110"/>
        <item x="106"/>
        <item x="89"/>
        <item x="20"/>
        <item x="121"/>
        <item x="5"/>
        <item x="103"/>
        <item x="69"/>
        <item x="56"/>
        <item x="79"/>
        <item x="55"/>
        <item x="33"/>
        <item x="102"/>
        <item x="183"/>
        <item x="75"/>
        <item x="61"/>
        <item x="118"/>
        <item x="180"/>
        <item x="63"/>
        <item x="10"/>
        <item x="129"/>
        <item x="123"/>
        <item x="38"/>
        <item x="143"/>
        <item x="124"/>
        <item x="43"/>
        <item x="109"/>
        <item x="128"/>
        <item x="115"/>
        <item x="41"/>
        <item x="45"/>
        <item x="86"/>
        <item x="12"/>
        <item x="173"/>
        <item x="44"/>
        <item x="18"/>
        <item x="164"/>
        <item x="4"/>
        <item x="141"/>
        <item x="107"/>
        <item x="8"/>
        <item x="88"/>
        <item x="178"/>
        <item x="157"/>
        <item x="97"/>
        <item x="191"/>
        <item x="138"/>
        <item x="113"/>
        <item x="171"/>
        <item x="74"/>
        <item x="120"/>
        <item x="50"/>
        <item x="140"/>
        <item x="155"/>
        <item x="47"/>
        <item x="101"/>
        <item x="165"/>
        <item x="85"/>
        <item x="116"/>
        <item x="60"/>
        <item x="163"/>
        <item x="181"/>
        <item x="77"/>
        <item x="7"/>
        <item x="21"/>
        <item x="150"/>
        <item x="29"/>
        <item x="16"/>
        <item x="73"/>
        <item x="125"/>
        <item x="68"/>
        <item x="99"/>
        <item x="170"/>
        <item x="182"/>
        <item x="52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numFmtId="1" showAll="0"/>
    <pivotField numFmtId="164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 numFmtId="16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738B3-AAF0-42E1-A2F0-1D4D260D9D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8" firstHeaderRow="1" firstDataRow="1" firstDataCol="1"/>
  <pivotFields count="12">
    <pivotField numFmtId="1" showAll="0"/>
    <pivotField numFmtId="14" showAll="0">
      <items count="194">
        <item x="13"/>
        <item x="126"/>
        <item x="145"/>
        <item x="17"/>
        <item x="64"/>
        <item x="149"/>
        <item x="130"/>
        <item x="153"/>
        <item x="66"/>
        <item x="11"/>
        <item x="83"/>
        <item x="151"/>
        <item x="15"/>
        <item x="53"/>
        <item x="94"/>
        <item x="160"/>
        <item x="147"/>
        <item x="185"/>
        <item x="119"/>
        <item x="190"/>
        <item x="154"/>
        <item x="176"/>
        <item x="62"/>
        <item x="30"/>
        <item x="98"/>
        <item x="58"/>
        <item x="100"/>
        <item x="96"/>
        <item x="174"/>
        <item x="92"/>
        <item x="84"/>
        <item x="40"/>
        <item x="117"/>
        <item x="186"/>
        <item x="114"/>
        <item x="142"/>
        <item x="1"/>
        <item x="67"/>
        <item x="162"/>
        <item x="184"/>
        <item x="59"/>
        <item x="48"/>
        <item x="166"/>
        <item x="28"/>
        <item x="132"/>
        <item x="71"/>
        <item x="57"/>
        <item x="95"/>
        <item x="78"/>
        <item x="22"/>
        <item x="91"/>
        <item x="54"/>
        <item x="104"/>
        <item x="146"/>
        <item x="72"/>
        <item x="24"/>
        <item x="76"/>
        <item x="65"/>
        <item x="81"/>
        <item x="152"/>
        <item x="136"/>
        <item x="179"/>
        <item x="9"/>
        <item x="122"/>
        <item x="27"/>
        <item x="49"/>
        <item x="175"/>
        <item x="23"/>
        <item x="34"/>
        <item x="87"/>
        <item x="169"/>
        <item x="32"/>
        <item x="6"/>
        <item x="131"/>
        <item x="144"/>
        <item x="82"/>
        <item x="159"/>
        <item x="135"/>
        <item x="90"/>
        <item x="31"/>
        <item x="189"/>
        <item x="111"/>
        <item x="161"/>
        <item x="105"/>
        <item x="168"/>
        <item x="0"/>
        <item x="70"/>
        <item x="19"/>
        <item x="172"/>
        <item x="39"/>
        <item x="158"/>
        <item x="2"/>
        <item x="42"/>
        <item x="187"/>
        <item x="26"/>
        <item x="3"/>
        <item x="35"/>
        <item x="137"/>
        <item x="148"/>
        <item x="14"/>
        <item x="37"/>
        <item x="112"/>
        <item x="156"/>
        <item x="192"/>
        <item x="36"/>
        <item x="25"/>
        <item x="177"/>
        <item x="80"/>
        <item x="188"/>
        <item x="51"/>
        <item x="134"/>
        <item x="46"/>
        <item x="108"/>
        <item x="133"/>
        <item x="139"/>
        <item x="167"/>
        <item x="93"/>
        <item x="127"/>
        <item x="110"/>
        <item x="106"/>
        <item x="89"/>
        <item x="20"/>
        <item x="121"/>
        <item x="5"/>
        <item x="103"/>
        <item x="69"/>
        <item x="56"/>
        <item x="79"/>
        <item x="55"/>
        <item x="33"/>
        <item x="102"/>
        <item x="183"/>
        <item x="75"/>
        <item x="61"/>
        <item x="118"/>
        <item x="180"/>
        <item x="63"/>
        <item x="10"/>
        <item x="129"/>
        <item x="123"/>
        <item x="38"/>
        <item x="143"/>
        <item x="124"/>
        <item x="43"/>
        <item x="109"/>
        <item x="128"/>
        <item x="115"/>
        <item x="41"/>
        <item x="45"/>
        <item x="86"/>
        <item x="12"/>
        <item x="173"/>
        <item x="44"/>
        <item x="18"/>
        <item x="164"/>
        <item x="4"/>
        <item x="141"/>
        <item x="107"/>
        <item x="8"/>
        <item x="88"/>
        <item x="178"/>
        <item x="157"/>
        <item x="97"/>
        <item x="191"/>
        <item x="138"/>
        <item x="113"/>
        <item x="171"/>
        <item x="74"/>
        <item x="120"/>
        <item x="50"/>
        <item x="140"/>
        <item x="155"/>
        <item x="47"/>
        <item x="101"/>
        <item x="165"/>
        <item x="85"/>
        <item x="116"/>
        <item x="60"/>
        <item x="163"/>
        <item x="181"/>
        <item x="77"/>
        <item x="7"/>
        <item x="21"/>
        <item x="150"/>
        <item x="29"/>
        <item x="16"/>
        <item x="73"/>
        <item x="125"/>
        <item x="68"/>
        <item x="99"/>
        <item x="170"/>
        <item x="182"/>
        <item x="52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numFmtId="1" showAll="0"/>
    <pivotField numFmtId="164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 numFmtId="16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42F58-DC45-463E-9AC5-A622DE1688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5" firstHeaderRow="1" firstDataRow="1" firstDataCol="1"/>
  <pivotFields count="12">
    <pivotField numFmtId="1" showAll="0"/>
    <pivotField numFmtId="14" showAll="0">
      <items count="194">
        <item x="13"/>
        <item x="126"/>
        <item x="145"/>
        <item x="17"/>
        <item x="64"/>
        <item x="149"/>
        <item x="130"/>
        <item x="153"/>
        <item x="66"/>
        <item x="11"/>
        <item x="83"/>
        <item x="151"/>
        <item x="15"/>
        <item x="53"/>
        <item x="94"/>
        <item x="160"/>
        <item x="147"/>
        <item x="185"/>
        <item x="119"/>
        <item x="190"/>
        <item x="154"/>
        <item x="176"/>
        <item x="62"/>
        <item x="30"/>
        <item x="98"/>
        <item x="58"/>
        <item x="100"/>
        <item x="96"/>
        <item x="174"/>
        <item x="92"/>
        <item x="84"/>
        <item x="40"/>
        <item x="117"/>
        <item x="186"/>
        <item x="114"/>
        <item x="142"/>
        <item x="1"/>
        <item x="67"/>
        <item x="162"/>
        <item x="184"/>
        <item x="59"/>
        <item x="48"/>
        <item x="166"/>
        <item x="28"/>
        <item x="132"/>
        <item x="71"/>
        <item x="57"/>
        <item x="95"/>
        <item x="78"/>
        <item x="22"/>
        <item x="91"/>
        <item x="54"/>
        <item x="104"/>
        <item x="146"/>
        <item x="72"/>
        <item x="24"/>
        <item x="76"/>
        <item x="65"/>
        <item x="81"/>
        <item x="152"/>
        <item x="136"/>
        <item x="179"/>
        <item x="9"/>
        <item x="122"/>
        <item x="27"/>
        <item x="49"/>
        <item x="175"/>
        <item x="23"/>
        <item x="34"/>
        <item x="87"/>
        <item x="169"/>
        <item x="32"/>
        <item x="6"/>
        <item x="131"/>
        <item x="144"/>
        <item x="82"/>
        <item x="159"/>
        <item x="135"/>
        <item x="90"/>
        <item x="31"/>
        <item x="189"/>
        <item x="111"/>
        <item x="161"/>
        <item x="105"/>
        <item x="168"/>
        <item x="0"/>
        <item x="70"/>
        <item x="19"/>
        <item x="172"/>
        <item x="39"/>
        <item x="158"/>
        <item x="2"/>
        <item x="42"/>
        <item x="187"/>
        <item x="26"/>
        <item x="3"/>
        <item x="35"/>
        <item x="137"/>
        <item x="148"/>
        <item x="14"/>
        <item x="37"/>
        <item x="112"/>
        <item x="156"/>
        <item x="192"/>
        <item x="36"/>
        <item x="25"/>
        <item x="177"/>
        <item x="80"/>
        <item x="188"/>
        <item x="51"/>
        <item x="134"/>
        <item x="46"/>
        <item x="108"/>
        <item x="133"/>
        <item x="139"/>
        <item x="167"/>
        <item x="93"/>
        <item x="127"/>
        <item x="110"/>
        <item x="106"/>
        <item x="89"/>
        <item x="20"/>
        <item x="121"/>
        <item x="5"/>
        <item x="103"/>
        <item x="69"/>
        <item x="56"/>
        <item x="79"/>
        <item x="55"/>
        <item x="33"/>
        <item x="102"/>
        <item x="183"/>
        <item x="75"/>
        <item x="61"/>
        <item x="118"/>
        <item x="180"/>
        <item x="63"/>
        <item x="10"/>
        <item x="129"/>
        <item x="123"/>
        <item x="38"/>
        <item x="143"/>
        <item x="124"/>
        <item x="43"/>
        <item x="109"/>
        <item x="128"/>
        <item x="115"/>
        <item x="41"/>
        <item x="45"/>
        <item x="86"/>
        <item x="12"/>
        <item x="173"/>
        <item x="44"/>
        <item x="18"/>
        <item x="164"/>
        <item x="4"/>
        <item x="141"/>
        <item x="107"/>
        <item x="8"/>
        <item x="88"/>
        <item x="178"/>
        <item x="157"/>
        <item x="97"/>
        <item x="191"/>
        <item x="138"/>
        <item x="113"/>
        <item x="171"/>
        <item x="74"/>
        <item x="120"/>
        <item x="50"/>
        <item x="140"/>
        <item x="155"/>
        <item x="47"/>
        <item x="101"/>
        <item x="165"/>
        <item x="85"/>
        <item x="116"/>
        <item x="60"/>
        <item x="163"/>
        <item x="181"/>
        <item x="77"/>
        <item x="7"/>
        <item x="21"/>
        <item x="150"/>
        <item x="29"/>
        <item x="16"/>
        <item x="73"/>
        <item x="125"/>
        <item x="68"/>
        <item x="99"/>
        <item x="170"/>
        <item x="182"/>
        <item x="52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64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9" baseField="0" baseItem="0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1" type="button" dataOnly="0" labelOnly="1" outline="0" axis="axisRow" fieldPosition="0"/>
    </format>
    <format dxfId="8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1" type="button" dataOnly="0" labelOnly="1" outline="0" axis="axisRow" fieldPosition="0"/>
    </format>
    <format dxfId="2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8A9F5-D32B-4EA6-AB4F-6F57FBB19C45}" name="Table1" displayName="Table1" ref="A1:J304" totalsRowCount="1" headerRowDxfId="34" dataDxfId="33" totalsRowDxfId="32">
  <autoFilter ref="A1:J303" xr:uid="{0558A9F5-D32B-4EA6-AB4F-6F57FBB19C45}"/>
  <sortState xmlns:xlrd2="http://schemas.microsoft.com/office/spreadsheetml/2017/richdata2" ref="A2:J303">
    <sortCondition descending="1" ref="J1:J303"/>
  </sortState>
  <tableColumns count="10">
    <tableColumn id="1" xr3:uid="{DD3380D0-44D5-4CEF-A5BD-C1DDF3B5AAAF}" name="Product_ID" totalsRowLabel="GRANDTOTAL" dataDxfId="31" totalsRowDxfId="30"/>
    <tableColumn id="2" xr3:uid="{3BD633EB-64C7-483B-A4A6-35442B560BB2}" name="Sale_Date" dataDxfId="29" totalsRowDxfId="28"/>
    <tableColumn id="3" xr3:uid="{26693B2E-5B56-4C87-89C1-EED47C34A2BA}" name="Sales_Rep" dataDxfId="27" totalsRowDxfId="26"/>
    <tableColumn id="4" xr3:uid="{F911B12B-5693-46B8-9F4E-8047EB90AC38}" name="Product_Category" dataDxfId="25" totalsRowDxfId="24"/>
    <tableColumn id="5" xr3:uid="{7DF0F7A7-8F00-42E2-AE00-07E42D6C1FFF}" name="Customer_Type" dataDxfId="23" totalsRowDxfId="22"/>
    <tableColumn id="6" xr3:uid="{D81EFF6B-8FC5-4936-8983-C8924E4ED959}" name="Payment_Method" dataDxfId="21" totalsRowDxfId="20"/>
    <tableColumn id="7" xr3:uid="{6CE78E12-6E6C-46DF-AB26-C8CBDB9A990C}" name="Sales_Channel" dataDxfId="19" totalsRowDxfId="18"/>
    <tableColumn id="8" xr3:uid="{759C0060-98BF-41EA-AFCF-6E21BC248B42}" name="Quantity_Sold" dataDxfId="17" totalsRowDxfId="16"/>
    <tableColumn id="9" xr3:uid="{46308916-D6FA-410B-A926-5DADF8B3B992}" name="Unit_Price" dataDxfId="15" totalsRowDxfId="14"/>
    <tableColumn id="10" xr3:uid="{F1F79540-5B8E-462F-A1AB-1004F8E75DD4}" name="Revenue" totalsRowFunction="custom" dataDxfId="13" totalsRowDxfId="12">
      <calculatedColumnFormula>PRODUCT(Table1[[#This Row],[Quantity_Sold]],Table1[[#This Row],[Unit_Price]])</calculatedColumnFormula>
      <totalsRowFormula>SUM(J2:J303)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E2BD-CD22-4DDE-A23B-EC4955898752}">
  <dimension ref="A1:I304"/>
  <sheetViews>
    <sheetView workbookViewId="0">
      <selection activeCell="G9" sqref="G9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1093</v>
      </c>
      <c r="B2" s="3">
        <v>45037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17</v>
      </c>
      <c r="I2" s="1">
        <v>4209.4399999999996</v>
      </c>
    </row>
    <row r="3" spans="1:9" x14ac:dyDescent="0.35">
      <c r="A3" s="2">
        <v>1015</v>
      </c>
      <c r="B3" s="3">
        <v>45190</v>
      </c>
      <c r="C3" s="1" t="s">
        <v>14</v>
      </c>
      <c r="D3" s="1" t="s">
        <v>15</v>
      </c>
      <c r="E3" s="1" t="s">
        <v>11</v>
      </c>
      <c r="F3" s="1" t="s">
        <v>16</v>
      </c>
      <c r="G3" s="1" t="s">
        <v>13</v>
      </c>
      <c r="H3" s="2">
        <v>30</v>
      </c>
      <c r="I3" s="1">
        <v>371.4</v>
      </c>
    </row>
    <row r="4" spans="1:9" x14ac:dyDescent="0.35">
      <c r="A4" s="2">
        <v>1024</v>
      </c>
      <c r="B4" s="3">
        <v>45241</v>
      </c>
      <c r="C4" s="1" t="s">
        <v>17</v>
      </c>
      <c r="D4" s="1" t="s">
        <v>15</v>
      </c>
      <c r="E4" s="1" t="s">
        <v>11</v>
      </c>
      <c r="F4" s="1" t="s">
        <v>16</v>
      </c>
      <c r="G4" s="1" t="s">
        <v>13</v>
      </c>
      <c r="H4" s="2">
        <v>21</v>
      </c>
      <c r="I4" s="1">
        <v>641.09</v>
      </c>
    </row>
    <row r="5" spans="1:9" x14ac:dyDescent="0.35">
      <c r="A5" s="2">
        <v>1033</v>
      </c>
      <c r="B5" s="3">
        <v>45244</v>
      </c>
      <c r="C5" s="1" t="s">
        <v>14</v>
      </c>
      <c r="D5" s="1" t="s">
        <v>10</v>
      </c>
      <c r="E5" s="1" t="s">
        <v>11</v>
      </c>
      <c r="F5" s="1" t="s">
        <v>16</v>
      </c>
      <c r="G5" s="1" t="s">
        <v>13</v>
      </c>
      <c r="H5" s="2">
        <v>23</v>
      </c>
      <c r="I5" s="1">
        <v>3360.4</v>
      </c>
    </row>
    <row r="6" spans="1:9" x14ac:dyDescent="0.35">
      <c r="A6" s="2">
        <v>1058</v>
      </c>
      <c r="B6" s="3">
        <v>45021</v>
      </c>
      <c r="C6" s="1" t="s">
        <v>18</v>
      </c>
      <c r="D6" s="1" t="s">
        <v>10</v>
      </c>
      <c r="E6" s="1" t="s">
        <v>11</v>
      </c>
      <c r="F6" s="1" t="s">
        <v>16</v>
      </c>
      <c r="G6" s="1" t="s">
        <v>13</v>
      </c>
      <c r="H6" s="2">
        <v>33</v>
      </c>
      <c r="I6" s="1">
        <v>1084.28</v>
      </c>
    </row>
    <row r="7" spans="1:9" x14ac:dyDescent="0.35">
      <c r="A7" s="2">
        <v>1091</v>
      </c>
      <c r="B7" s="3">
        <v>45173</v>
      </c>
      <c r="C7" s="1" t="s">
        <v>19</v>
      </c>
      <c r="D7" s="1" t="s">
        <v>15</v>
      </c>
      <c r="E7" s="1" t="s">
        <v>11</v>
      </c>
      <c r="F7" s="1" t="s">
        <v>16</v>
      </c>
      <c r="G7" s="1" t="s">
        <v>13</v>
      </c>
      <c r="H7" s="2">
        <v>44</v>
      </c>
      <c r="I7" s="1">
        <v>2406.58</v>
      </c>
    </row>
    <row r="8" spans="1:9" x14ac:dyDescent="0.35">
      <c r="A8" s="2">
        <v>1015</v>
      </c>
      <c r="B8" s="3">
        <v>45149</v>
      </c>
      <c r="C8" s="1" t="s">
        <v>17</v>
      </c>
      <c r="D8" s="1" t="s">
        <v>10</v>
      </c>
      <c r="E8" s="1" t="s">
        <v>11</v>
      </c>
      <c r="F8" s="1" t="s">
        <v>12</v>
      </c>
      <c r="G8" s="1" t="s">
        <v>13</v>
      </c>
      <c r="H8" s="2">
        <v>32</v>
      </c>
      <c r="I8" s="1">
        <v>1330.84</v>
      </c>
    </row>
    <row r="9" spans="1:9" x14ac:dyDescent="0.35">
      <c r="A9" s="2">
        <v>1062</v>
      </c>
      <c r="B9" s="3">
        <v>45248</v>
      </c>
      <c r="C9" s="1" t="s">
        <v>18</v>
      </c>
      <c r="D9" s="1" t="s">
        <v>10</v>
      </c>
      <c r="E9" s="1" t="s">
        <v>11</v>
      </c>
      <c r="F9" s="1" t="s">
        <v>16</v>
      </c>
      <c r="G9" s="1" t="s">
        <v>13</v>
      </c>
      <c r="H9" s="2">
        <v>12</v>
      </c>
      <c r="I9" s="1">
        <v>1545</v>
      </c>
    </row>
    <row r="10" spans="1:9" x14ac:dyDescent="0.35">
      <c r="A10" s="2">
        <v>1021</v>
      </c>
      <c r="B10" s="3">
        <v>45120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2">
        <v>43</v>
      </c>
      <c r="I10" s="1">
        <v>4469.07</v>
      </c>
    </row>
    <row r="11" spans="1:9" x14ac:dyDescent="0.35">
      <c r="A11" s="2">
        <v>1073</v>
      </c>
      <c r="B11" s="3">
        <v>45261</v>
      </c>
      <c r="C11" s="1" t="s">
        <v>14</v>
      </c>
      <c r="D11" s="1" t="s">
        <v>10</v>
      </c>
      <c r="E11" s="1" t="s">
        <v>11</v>
      </c>
      <c r="F11" s="1" t="s">
        <v>20</v>
      </c>
      <c r="G11" s="1" t="s">
        <v>13</v>
      </c>
      <c r="H11" s="2">
        <v>40</v>
      </c>
      <c r="I11" s="1">
        <v>3007.47</v>
      </c>
    </row>
    <row r="12" spans="1:9" x14ac:dyDescent="0.35">
      <c r="A12" s="2">
        <v>1039</v>
      </c>
      <c r="B12" s="3">
        <v>45129</v>
      </c>
      <c r="C12" s="1" t="s">
        <v>18</v>
      </c>
      <c r="D12" s="1" t="s">
        <v>21</v>
      </c>
      <c r="E12" s="1" t="s">
        <v>11</v>
      </c>
      <c r="F12" s="1" t="s">
        <v>20</v>
      </c>
      <c r="G12" s="1" t="s">
        <v>13</v>
      </c>
      <c r="H12" s="2">
        <v>42</v>
      </c>
      <c r="I12" s="1">
        <v>3600.14</v>
      </c>
    </row>
    <row r="13" spans="1:9" x14ac:dyDescent="0.35">
      <c r="A13" s="2">
        <v>1090</v>
      </c>
      <c r="B13" s="3">
        <v>45250</v>
      </c>
      <c r="C13" s="1" t="s">
        <v>18</v>
      </c>
      <c r="D13" s="1" t="s">
        <v>22</v>
      </c>
      <c r="E13" s="1" t="s">
        <v>11</v>
      </c>
      <c r="F13" s="1" t="s">
        <v>12</v>
      </c>
      <c r="G13" s="1" t="s">
        <v>13</v>
      </c>
      <c r="H13" s="2">
        <v>32</v>
      </c>
      <c r="I13" s="1">
        <v>3152.28</v>
      </c>
    </row>
    <row r="14" spans="1:9" x14ac:dyDescent="0.35">
      <c r="A14" s="2">
        <v>1002</v>
      </c>
      <c r="B14" s="3">
        <v>45138</v>
      </c>
      <c r="C14" s="1" t="s">
        <v>14</v>
      </c>
      <c r="D14" s="1" t="s">
        <v>21</v>
      </c>
      <c r="E14" s="1" t="s">
        <v>11</v>
      </c>
      <c r="F14" s="1" t="s">
        <v>20</v>
      </c>
      <c r="G14" s="1" t="s">
        <v>13</v>
      </c>
      <c r="H14" s="2">
        <v>21</v>
      </c>
      <c r="I14" s="1">
        <v>4361.7</v>
      </c>
    </row>
    <row r="15" spans="1:9" x14ac:dyDescent="0.35">
      <c r="A15" s="2">
        <v>1071</v>
      </c>
      <c r="B15" s="3">
        <v>45066</v>
      </c>
      <c r="C15" s="1" t="s">
        <v>17</v>
      </c>
      <c r="D15" s="1" t="s">
        <v>10</v>
      </c>
      <c r="E15" s="1" t="s">
        <v>11</v>
      </c>
      <c r="F15" s="1" t="s">
        <v>16</v>
      </c>
      <c r="G15" s="1" t="s">
        <v>13</v>
      </c>
      <c r="H15" s="2">
        <v>6</v>
      </c>
      <c r="I15" s="1">
        <v>3206.98</v>
      </c>
    </row>
    <row r="16" spans="1:9" x14ac:dyDescent="0.35">
      <c r="A16" s="2">
        <v>1044</v>
      </c>
      <c r="B16" s="3">
        <v>44973</v>
      </c>
      <c r="C16" s="1" t="s">
        <v>14</v>
      </c>
      <c r="D16" s="1" t="s">
        <v>15</v>
      </c>
      <c r="E16" s="1" t="s">
        <v>11</v>
      </c>
      <c r="F16" s="1" t="s">
        <v>16</v>
      </c>
      <c r="G16" s="1" t="s">
        <v>13</v>
      </c>
      <c r="H16" s="2">
        <v>22</v>
      </c>
      <c r="I16" s="1">
        <v>3454.76</v>
      </c>
    </row>
    <row r="17" spans="1:9" x14ac:dyDescent="0.35">
      <c r="A17" s="2">
        <v>1050</v>
      </c>
      <c r="B17" s="3">
        <v>45065</v>
      </c>
      <c r="C17" s="1" t="s">
        <v>19</v>
      </c>
      <c r="D17" s="1" t="s">
        <v>21</v>
      </c>
      <c r="E17" s="1" t="s">
        <v>11</v>
      </c>
      <c r="F17" s="1" t="s">
        <v>16</v>
      </c>
      <c r="G17" s="1" t="s">
        <v>13</v>
      </c>
      <c r="H17" s="2">
        <v>35</v>
      </c>
      <c r="I17" s="1">
        <v>2384.38</v>
      </c>
    </row>
    <row r="18" spans="1:9" x14ac:dyDescent="0.35">
      <c r="A18" s="2">
        <v>1004</v>
      </c>
      <c r="B18" s="3">
        <v>45104</v>
      </c>
      <c r="C18" s="1" t="s">
        <v>18</v>
      </c>
      <c r="D18" s="1" t="s">
        <v>22</v>
      </c>
      <c r="E18" s="1" t="s">
        <v>11</v>
      </c>
      <c r="F18" s="1" t="s">
        <v>20</v>
      </c>
      <c r="G18" s="1" t="s">
        <v>13</v>
      </c>
      <c r="H18" s="2">
        <v>2</v>
      </c>
      <c r="I18" s="1">
        <v>2977.52</v>
      </c>
    </row>
    <row r="19" spans="1:9" x14ac:dyDescent="0.35">
      <c r="A19" s="2">
        <v>1063</v>
      </c>
      <c r="B19" s="3">
        <v>45064</v>
      </c>
      <c r="C19" s="1" t="s">
        <v>9</v>
      </c>
      <c r="D19" s="1" t="s">
        <v>15</v>
      </c>
      <c r="E19" s="1" t="s">
        <v>11</v>
      </c>
      <c r="F19" s="1" t="s">
        <v>12</v>
      </c>
      <c r="G19" s="1" t="s">
        <v>13</v>
      </c>
      <c r="H19" s="2">
        <v>39</v>
      </c>
      <c r="I19" s="1">
        <v>3931.25</v>
      </c>
    </row>
    <row r="20" spans="1:9" x14ac:dyDescent="0.35">
      <c r="A20" s="2">
        <v>1090</v>
      </c>
      <c r="B20" s="3">
        <v>44939</v>
      </c>
      <c r="C20" s="1" t="s">
        <v>18</v>
      </c>
      <c r="D20" s="1" t="s">
        <v>21</v>
      </c>
      <c r="E20" s="1" t="s">
        <v>11</v>
      </c>
      <c r="F20" s="1" t="s">
        <v>16</v>
      </c>
      <c r="G20" s="1" t="s">
        <v>13</v>
      </c>
      <c r="H20" s="2">
        <v>17</v>
      </c>
      <c r="I20" s="1">
        <v>2839.73</v>
      </c>
    </row>
    <row r="21" spans="1:9" x14ac:dyDescent="0.35">
      <c r="A21" s="2">
        <v>1044</v>
      </c>
      <c r="B21" s="3">
        <v>45094</v>
      </c>
      <c r="C21" s="1" t="s">
        <v>19</v>
      </c>
      <c r="D21" s="1" t="s">
        <v>10</v>
      </c>
      <c r="E21" s="1" t="s">
        <v>11</v>
      </c>
      <c r="F21" s="1" t="s">
        <v>20</v>
      </c>
      <c r="G21" s="1" t="s">
        <v>13</v>
      </c>
      <c r="H21" s="2">
        <v>6</v>
      </c>
      <c r="I21" s="1">
        <v>2742.97</v>
      </c>
    </row>
    <row r="22" spans="1:9" x14ac:dyDescent="0.35">
      <c r="A22" s="2">
        <v>1034</v>
      </c>
      <c r="B22" s="3">
        <v>45056</v>
      </c>
      <c r="C22" s="1" t="s">
        <v>17</v>
      </c>
      <c r="D22" s="1" t="s">
        <v>21</v>
      </c>
      <c r="E22" s="1" t="s">
        <v>11</v>
      </c>
      <c r="F22" s="1" t="s">
        <v>20</v>
      </c>
      <c r="G22" s="1" t="s">
        <v>13</v>
      </c>
      <c r="H22" s="2">
        <v>19</v>
      </c>
      <c r="I22" s="1">
        <v>2180.83</v>
      </c>
    </row>
    <row r="23" spans="1:9" x14ac:dyDescent="0.35">
      <c r="A23" s="2">
        <v>1062</v>
      </c>
      <c r="B23" s="3">
        <v>45247</v>
      </c>
      <c r="C23" s="1" t="s">
        <v>19</v>
      </c>
      <c r="D23" s="1" t="s">
        <v>21</v>
      </c>
      <c r="E23" s="1" t="s">
        <v>11</v>
      </c>
      <c r="F23" s="1" t="s">
        <v>12</v>
      </c>
      <c r="G23" s="1" t="s">
        <v>13</v>
      </c>
      <c r="H23" s="2">
        <v>28</v>
      </c>
      <c r="I23" s="1">
        <v>2168.91</v>
      </c>
    </row>
    <row r="24" spans="1:9" x14ac:dyDescent="0.35">
      <c r="A24" s="2">
        <v>1015</v>
      </c>
      <c r="B24" s="3">
        <v>45191</v>
      </c>
      <c r="C24" s="1" t="s">
        <v>14</v>
      </c>
      <c r="D24" s="1" t="s">
        <v>22</v>
      </c>
      <c r="E24" s="1" t="s">
        <v>11</v>
      </c>
      <c r="F24" s="1" t="s">
        <v>12</v>
      </c>
      <c r="G24" s="1" t="s">
        <v>13</v>
      </c>
      <c r="H24" s="2">
        <v>22</v>
      </c>
      <c r="I24" s="1">
        <v>4576.72</v>
      </c>
    </row>
    <row r="25" spans="1:9" x14ac:dyDescent="0.35">
      <c r="A25" s="2">
        <v>1078</v>
      </c>
      <c r="B25" s="3">
        <v>45020</v>
      </c>
      <c r="C25" s="1" t="s">
        <v>14</v>
      </c>
      <c r="D25" s="1" t="s">
        <v>10</v>
      </c>
      <c r="E25" s="1" t="s">
        <v>11</v>
      </c>
      <c r="F25" s="1" t="s">
        <v>20</v>
      </c>
      <c r="G25" s="1" t="s">
        <v>13</v>
      </c>
      <c r="H25" s="2">
        <v>49</v>
      </c>
      <c r="I25" s="1">
        <v>2147.14</v>
      </c>
    </row>
    <row r="26" spans="1:9" x14ac:dyDescent="0.35">
      <c r="A26" s="2">
        <v>1085</v>
      </c>
      <c r="B26" s="3">
        <v>45244</v>
      </c>
      <c r="C26" s="1" t="s">
        <v>19</v>
      </c>
      <c r="D26" s="1" t="s">
        <v>10</v>
      </c>
      <c r="E26" s="1" t="s">
        <v>11</v>
      </c>
      <c r="F26" s="1" t="s">
        <v>20</v>
      </c>
      <c r="G26" s="1" t="s">
        <v>13</v>
      </c>
      <c r="H26" s="2">
        <v>32</v>
      </c>
      <c r="I26" s="1">
        <v>1492.48</v>
      </c>
    </row>
    <row r="27" spans="1:9" x14ac:dyDescent="0.35">
      <c r="A27" s="2">
        <v>1080</v>
      </c>
      <c r="B27" s="3">
        <v>45162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2">
        <v>17</v>
      </c>
      <c r="I27" s="1">
        <v>2979.64</v>
      </c>
    </row>
    <row r="28" spans="1:9" x14ac:dyDescent="0.35">
      <c r="A28" s="2">
        <v>1024</v>
      </c>
      <c r="B28" s="3">
        <v>45002</v>
      </c>
      <c r="C28" s="1" t="s">
        <v>17</v>
      </c>
      <c r="D28" s="1" t="s">
        <v>22</v>
      </c>
      <c r="E28" s="1" t="s">
        <v>11</v>
      </c>
      <c r="F28" s="1" t="s">
        <v>16</v>
      </c>
      <c r="G28" s="1" t="s">
        <v>13</v>
      </c>
      <c r="H28" s="2">
        <v>46</v>
      </c>
      <c r="I28" s="1">
        <v>2338.66</v>
      </c>
    </row>
    <row r="29" spans="1:9" x14ac:dyDescent="0.35">
      <c r="A29" s="2">
        <v>1088</v>
      </c>
      <c r="B29" s="3">
        <v>45196</v>
      </c>
      <c r="C29" s="1" t="s">
        <v>17</v>
      </c>
      <c r="D29" s="1" t="s">
        <v>21</v>
      </c>
      <c r="E29" s="1" t="s">
        <v>11</v>
      </c>
      <c r="F29" s="1" t="s">
        <v>12</v>
      </c>
      <c r="G29" s="1" t="s">
        <v>13</v>
      </c>
      <c r="H29" s="2">
        <v>12</v>
      </c>
      <c r="I29" s="1">
        <v>4856.22</v>
      </c>
    </row>
    <row r="30" spans="1:9" x14ac:dyDescent="0.35">
      <c r="A30" s="2">
        <v>1008</v>
      </c>
      <c r="B30" s="3">
        <v>45212</v>
      </c>
      <c r="C30" s="1" t="s">
        <v>17</v>
      </c>
      <c r="D30" s="1" t="s">
        <v>22</v>
      </c>
      <c r="E30" s="1" t="s">
        <v>11</v>
      </c>
      <c r="F30" s="1" t="s">
        <v>16</v>
      </c>
      <c r="G30" s="1" t="s">
        <v>13</v>
      </c>
      <c r="H30" s="2">
        <v>24</v>
      </c>
      <c r="I30" s="1">
        <v>1739.45</v>
      </c>
    </row>
    <row r="31" spans="1:9" x14ac:dyDescent="0.35">
      <c r="A31" s="2">
        <v>1063</v>
      </c>
      <c r="B31" s="3">
        <v>45139</v>
      </c>
      <c r="C31" s="1" t="s">
        <v>9</v>
      </c>
      <c r="D31" s="1" t="s">
        <v>22</v>
      </c>
      <c r="E31" s="1" t="s">
        <v>11</v>
      </c>
      <c r="F31" s="1" t="s">
        <v>16</v>
      </c>
      <c r="G31" s="1" t="s">
        <v>13</v>
      </c>
      <c r="H31" s="2">
        <v>4</v>
      </c>
      <c r="I31" s="1">
        <v>1475.29</v>
      </c>
    </row>
    <row r="32" spans="1:9" x14ac:dyDescent="0.35">
      <c r="A32" s="2">
        <v>1008</v>
      </c>
      <c r="B32" s="3">
        <v>45265</v>
      </c>
      <c r="C32" s="1" t="s">
        <v>19</v>
      </c>
      <c r="D32" s="1" t="s">
        <v>22</v>
      </c>
      <c r="E32" s="1" t="s">
        <v>11</v>
      </c>
      <c r="F32" s="1" t="s">
        <v>20</v>
      </c>
      <c r="G32" s="1" t="s">
        <v>13</v>
      </c>
      <c r="H32" s="2">
        <v>27</v>
      </c>
      <c r="I32" s="1">
        <v>429.29</v>
      </c>
    </row>
    <row r="33" spans="1:9" x14ac:dyDescent="0.35">
      <c r="A33" s="2">
        <v>1035</v>
      </c>
      <c r="B33" s="3">
        <v>45004</v>
      </c>
      <c r="C33" s="1" t="s">
        <v>9</v>
      </c>
      <c r="D33" s="1" t="s">
        <v>21</v>
      </c>
      <c r="E33" s="1" t="s">
        <v>11</v>
      </c>
      <c r="F33" s="1" t="s">
        <v>20</v>
      </c>
      <c r="G33" s="1" t="s">
        <v>13</v>
      </c>
      <c r="H33" s="2">
        <v>9</v>
      </c>
      <c r="I33" s="1">
        <v>2755.56</v>
      </c>
    </row>
    <row r="34" spans="1:9" x14ac:dyDescent="0.35">
      <c r="A34" s="2">
        <v>1041</v>
      </c>
      <c r="B34" s="3">
        <v>45163</v>
      </c>
      <c r="C34" s="1" t="s">
        <v>9</v>
      </c>
      <c r="D34" s="1" t="s">
        <v>15</v>
      </c>
      <c r="E34" s="1" t="s">
        <v>11</v>
      </c>
      <c r="F34" s="1" t="s">
        <v>12</v>
      </c>
      <c r="G34" s="1" t="s">
        <v>13</v>
      </c>
      <c r="H34" s="2">
        <v>31</v>
      </c>
      <c r="I34" s="1">
        <v>1756.34</v>
      </c>
    </row>
    <row r="35" spans="1:9" x14ac:dyDescent="0.35">
      <c r="A35" s="2">
        <v>1028</v>
      </c>
      <c r="B35" s="3">
        <v>44968</v>
      </c>
      <c r="C35" s="1" t="s">
        <v>18</v>
      </c>
      <c r="D35" s="1" t="s">
        <v>21</v>
      </c>
      <c r="E35" s="1" t="s">
        <v>11</v>
      </c>
      <c r="F35" s="1" t="s">
        <v>16</v>
      </c>
      <c r="G35" s="1" t="s">
        <v>13</v>
      </c>
      <c r="H35" s="2">
        <v>24</v>
      </c>
      <c r="I35" s="1">
        <v>2766.05</v>
      </c>
    </row>
    <row r="36" spans="1:9" x14ac:dyDescent="0.35">
      <c r="A36" s="2">
        <v>1073</v>
      </c>
      <c r="B36" s="3">
        <v>45222</v>
      </c>
      <c r="C36" s="1" t="s">
        <v>19</v>
      </c>
      <c r="D36" s="1" t="s">
        <v>21</v>
      </c>
      <c r="E36" s="1" t="s">
        <v>11</v>
      </c>
      <c r="F36" s="1" t="s">
        <v>20</v>
      </c>
      <c r="G36" s="1" t="s">
        <v>13</v>
      </c>
      <c r="H36" s="2">
        <v>45</v>
      </c>
      <c r="I36" s="1">
        <v>4381.8900000000003</v>
      </c>
    </row>
    <row r="37" spans="1:9" x14ac:dyDescent="0.35">
      <c r="A37" s="2">
        <v>1048</v>
      </c>
      <c r="B37" s="3">
        <v>45214</v>
      </c>
      <c r="C37" s="1" t="s">
        <v>19</v>
      </c>
      <c r="D37" s="1" t="s">
        <v>22</v>
      </c>
      <c r="E37" s="1" t="s">
        <v>11</v>
      </c>
      <c r="F37" s="1" t="s">
        <v>20</v>
      </c>
      <c r="G37" s="1" t="s">
        <v>13</v>
      </c>
      <c r="H37" s="2">
        <v>42</v>
      </c>
      <c r="I37" s="1">
        <v>3349.37</v>
      </c>
    </row>
    <row r="38" spans="1:9" x14ac:dyDescent="0.35">
      <c r="A38" s="2">
        <v>1023</v>
      </c>
      <c r="B38" s="3">
        <v>45105</v>
      </c>
      <c r="C38" s="1" t="s">
        <v>17</v>
      </c>
      <c r="D38" s="1" t="s">
        <v>21</v>
      </c>
      <c r="E38" s="1" t="s">
        <v>11</v>
      </c>
      <c r="F38" s="1" t="s">
        <v>12</v>
      </c>
      <c r="G38" s="1" t="s">
        <v>13</v>
      </c>
      <c r="H38" s="2">
        <v>9</v>
      </c>
      <c r="I38" s="1">
        <v>4273.6000000000004</v>
      </c>
    </row>
    <row r="39" spans="1:9" x14ac:dyDescent="0.35">
      <c r="A39" s="2">
        <v>1062</v>
      </c>
      <c r="B39" s="3">
        <v>45051</v>
      </c>
      <c r="C39" s="1" t="s">
        <v>17</v>
      </c>
      <c r="D39" s="1" t="s">
        <v>21</v>
      </c>
      <c r="E39" s="1" t="s">
        <v>11</v>
      </c>
      <c r="F39" s="1" t="s">
        <v>16</v>
      </c>
      <c r="G39" s="1" t="s">
        <v>13</v>
      </c>
      <c r="H39" s="2">
        <v>26</v>
      </c>
      <c r="I39" s="1">
        <v>1263.49</v>
      </c>
    </row>
    <row r="40" spans="1:9" x14ac:dyDescent="0.35">
      <c r="A40" s="2">
        <v>1047</v>
      </c>
      <c r="B40" s="3">
        <v>45030</v>
      </c>
      <c r="C40" s="1" t="s">
        <v>17</v>
      </c>
      <c r="D40" s="1" t="s">
        <v>21</v>
      </c>
      <c r="E40" s="1" t="s">
        <v>11</v>
      </c>
      <c r="F40" s="1" t="s">
        <v>20</v>
      </c>
      <c r="G40" s="1" t="s">
        <v>13</v>
      </c>
      <c r="H40" s="2">
        <v>16</v>
      </c>
      <c r="I40" s="1">
        <v>4321.04</v>
      </c>
    </row>
    <row r="41" spans="1:9" x14ac:dyDescent="0.35">
      <c r="A41" s="2">
        <v>1078</v>
      </c>
      <c r="B41" s="3">
        <v>44965</v>
      </c>
      <c r="C41" s="1" t="s">
        <v>18</v>
      </c>
      <c r="D41" s="1" t="s">
        <v>10</v>
      </c>
      <c r="E41" s="1" t="s">
        <v>11</v>
      </c>
      <c r="F41" s="1" t="s">
        <v>12</v>
      </c>
      <c r="G41" s="1" t="s">
        <v>13</v>
      </c>
      <c r="H41" s="2">
        <v>49</v>
      </c>
      <c r="I41" s="1">
        <v>3183.58</v>
      </c>
    </row>
    <row r="42" spans="1:9" x14ac:dyDescent="0.35">
      <c r="A42" s="2">
        <v>1027</v>
      </c>
      <c r="B42" s="3">
        <v>44941</v>
      </c>
      <c r="C42" s="1" t="s">
        <v>9</v>
      </c>
      <c r="D42" s="1" t="s">
        <v>15</v>
      </c>
      <c r="E42" s="1" t="s">
        <v>11</v>
      </c>
      <c r="F42" s="1" t="s">
        <v>12</v>
      </c>
      <c r="G42" s="1" t="s">
        <v>13</v>
      </c>
      <c r="H42" s="2">
        <v>26</v>
      </c>
      <c r="I42" s="1">
        <v>477.67</v>
      </c>
    </row>
    <row r="43" spans="1:9" x14ac:dyDescent="0.35">
      <c r="A43" s="2">
        <v>1009</v>
      </c>
      <c r="B43" s="3">
        <v>45037</v>
      </c>
      <c r="C43" s="1" t="s">
        <v>17</v>
      </c>
      <c r="D43" s="1" t="s">
        <v>21</v>
      </c>
      <c r="E43" s="1" t="s">
        <v>11</v>
      </c>
      <c r="F43" s="1" t="s">
        <v>16</v>
      </c>
      <c r="G43" s="1" t="s">
        <v>13</v>
      </c>
      <c r="H43" s="2">
        <v>47</v>
      </c>
      <c r="I43" s="1">
        <v>733</v>
      </c>
    </row>
    <row r="44" spans="1:9" x14ac:dyDescent="0.35">
      <c r="A44" s="2">
        <v>1015</v>
      </c>
      <c r="B44" s="3">
        <v>45215</v>
      </c>
      <c r="C44" s="1" t="s">
        <v>19</v>
      </c>
      <c r="D44" s="1" t="s">
        <v>15</v>
      </c>
      <c r="E44" s="1" t="s">
        <v>11</v>
      </c>
      <c r="F44" s="1" t="s">
        <v>12</v>
      </c>
      <c r="G44" s="1" t="s">
        <v>13</v>
      </c>
      <c r="H44" s="2">
        <v>23</v>
      </c>
      <c r="I44" s="1">
        <v>3007.53</v>
      </c>
    </row>
    <row r="45" spans="1:9" x14ac:dyDescent="0.35">
      <c r="A45" s="2">
        <v>1090</v>
      </c>
      <c r="B45" s="3">
        <v>45157</v>
      </c>
      <c r="C45" s="1" t="s">
        <v>9</v>
      </c>
      <c r="D45" s="1" t="s">
        <v>21</v>
      </c>
      <c r="E45" s="1" t="s">
        <v>11</v>
      </c>
      <c r="F45" s="1" t="s">
        <v>16</v>
      </c>
      <c r="G45" s="1" t="s">
        <v>13</v>
      </c>
      <c r="H45" s="2">
        <v>31</v>
      </c>
      <c r="I45" s="1">
        <v>2668.02</v>
      </c>
    </row>
    <row r="46" spans="1:9" x14ac:dyDescent="0.35">
      <c r="A46" s="2">
        <v>1042</v>
      </c>
      <c r="B46" s="3">
        <v>45083</v>
      </c>
      <c r="C46" s="1" t="s">
        <v>9</v>
      </c>
      <c r="D46" s="1" t="s">
        <v>15</v>
      </c>
      <c r="E46" s="1" t="s">
        <v>11</v>
      </c>
      <c r="F46" s="1" t="s">
        <v>20</v>
      </c>
      <c r="G46" s="1" t="s">
        <v>13</v>
      </c>
      <c r="H46" s="2">
        <v>20</v>
      </c>
      <c r="I46" s="1">
        <v>3565.58</v>
      </c>
    </row>
    <row r="47" spans="1:9" x14ac:dyDescent="0.35">
      <c r="A47" s="2">
        <v>1052</v>
      </c>
      <c r="B47" s="3">
        <v>45122</v>
      </c>
      <c r="C47" s="1" t="s">
        <v>19</v>
      </c>
      <c r="D47" s="1" t="s">
        <v>15</v>
      </c>
      <c r="E47" s="1" t="s">
        <v>11</v>
      </c>
      <c r="F47" s="1" t="s">
        <v>16</v>
      </c>
      <c r="G47" s="1" t="s">
        <v>13</v>
      </c>
      <c r="H47" s="2">
        <v>48</v>
      </c>
      <c r="I47" s="1">
        <v>3080.61</v>
      </c>
    </row>
    <row r="48" spans="1:9" x14ac:dyDescent="0.35">
      <c r="A48" s="2">
        <v>1004</v>
      </c>
      <c r="B48" s="3">
        <v>45248</v>
      </c>
      <c r="C48" s="1" t="s">
        <v>18</v>
      </c>
      <c r="D48" s="1" t="s">
        <v>15</v>
      </c>
      <c r="E48" s="1" t="s">
        <v>11</v>
      </c>
      <c r="F48" s="1" t="s">
        <v>16</v>
      </c>
      <c r="G48" s="1" t="s">
        <v>13</v>
      </c>
      <c r="H48" s="2">
        <v>1</v>
      </c>
      <c r="I48" s="1">
        <v>211.18</v>
      </c>
    </row>
    <row r="49" spans="1:9" x14ac:dyDescent="0.35">
      <c r="A49" s="2">
        <v>1086</v>
      </c>
      <c r="B49" s="3">
        <v>45291</v>
      </c>
      <c r="C49" s="1" t="s">
        <v>18</v>
      </c>
      <c r="D49" s="1" t="s">
        <v>21</v>
      </c>
      <c r="E49" s="1" t="s">
        <v>11</v>
      </c>
      <c r="F49" s="1" t="s">
        <v>12</v>
      </c>
      <c r="G49" s="1" t="s">
        <v>13</v>
      </c>
      <c r="H49" s="2">
        <v>33</v>
      </c>
      <c r="I49" s="1">
        <v>3890.36</v>
      </c>
    </row>
    <row r="50" spans="1:9" x14ac:dyDescent="0.35">
      <c r="A50" s="2">
        <v>1066</v>
      </c>
      <c r="B50" s="3">
        <v>45110</v>
      </c>
      <c r="C50" s="1" t="s">
        <v>19</v>
      </c>
      <c r="D50" s="1" t="s">
        <v>10</v>
      </c>
      <c r="E50" s="1" t="s">
        <v>11</v>
      </c>
      <c r="F50" s="1" t="s">
        <v>16</v>
      </c>
      <c r="G50" s="1" t="s">
        <v>13</v>
      </c>
      <c r="H50" s="2">
        <v>15</v>
      </c>
      <c r="I50" s="1">
        <v>2867.36</v>
      </c>
    </row>
    <row r="51" spans="1:9" x14ac:dyDescent="0.35">
      <c r="A51" s="2">
        <v>1089</v>
      </c>
      <c r="B51" s="3">
        <v>45218</v>
      </c>
      <c r="C51" s="1" t="s">
        <v>17</v>
      </c>
      <c r="D51" s="1" t="s">
        <v>15</v>
      </c>
      <c r="E51" s="1" t="s">
        <v>11</v>
      </c>
      <c r="F51" s="1" t="s">
        <v>20</v>
      </c>
      <c r="G51" s="1" t="s">
        <v>13</v>
      </c>
      <c r="H51" s="2">
        <v>23</v>
      </c>
      <c r="I51" s="1">
        <v>2597.67</v>
      </c>
    </row>
    <row r="52" spans="1:9" x14ac:dyDescent="0.35">
      <c r="A52" s="2">
        <v>1097</v>
      </c>
      <c r="B52" s="3">
        <v>45225</v>
      </c>
      <c r="C52" s="1" t="s">
        <v>18</v>
      </c>
      <c r="D52" s="1" t="s">
        <v>22</v>
      </c>
      <c r="E52" s="1" t="s">
        <v>11</v>
      </c>
      <c r="F52" s="1" t="s">
        <v>20</v>
      </c>
      <c r="G52" s="1" t="s">
        <v>13</v>
      </c>
      <c r="H52" s="2">
        <v>27</v>
      </c>
      <c r="I52" s="1">
        <v>5046.51</v>
      </c>
    </row>
    <row r="53" spans="1:9" x14ac:dyDescent="0.35">
      <c r="A53" s="2">
        <v>1077</v>
      </c>
      <c r="B53" s="3">
        <v>44937</v>
      </c>
      <c r="C53" s="1" t="s">
        <v>17</v>
      </c>
      <c r="D53" s="1" t="s">
        <v>22</v>
      </c>
      <c r="E53" s="1" t="s">
        <v>11</v>
      </c>
      <c r="F53" s="1" t="s">
        <v>16</v>
      </c>
      <c r="G53" s="1" t="s">
        <v>13</v>
      </c>
      <c r="H53" s="2">
        <v>35</v>
      </c>
      <c r="I53" s="1">
        <v>970.49</v>
      </c>
    </row>
    <row r="54" spans="1:9" x14ac:dyDescent="0.35">
      <c r="A54" s="2">
        <v>1009</v>
      </c>
      <c r="B54" s="3">
        <v>45060</v>
      </c>
      <c r="C54" s="1" t="s">
        <v>14</v>
      </c>
      <c r="D54" s="1" t="s">
        <v>10</v>
      </c>
      <c r="E54" s="1" t="s">
        <v>11</v>
      </c>
      <c r="F54" s="1" t="s">
        <v>20</v>
      </c>
      <c r="G54" s="1" t="s">
        <v>13</v>
      </c>
      <c r="H54" s="2">
        <v>40</v>
      </c>
      <c r="I54" s="1">
        <v>3231.08</v>
      </c>
    </row>
    <row r="55" spans="1:9" x14ac:dyDescent="0.35">
      <c r="A55" s="2">
        <v>1037</v>
      </c>
      <c r="B55" s="3">
        <v>44949</v>
      </c>
      <c r="C55" s="1" t="s">
        <v>19</v>
      </c>
      <c r="D55" s="1" t="s">
        <v>15</v>
      </c>
      <c r="E55" s="1" t="s">
        <v>11</v>
      </c>
      <c r="F55" s="1" t="s">
        <v>20</v>
      </c>
      <c r="G55" s="1" t="s">
        <v>13</v>
      </c>
      <c r="H55" s="2">
        <v>25</v>
      </c>
      <c r="I55" s="1">
        <v>1382.43</v>
      </c>
    </row>
    <row r="56" spans="1:9" x14ac:dyDescent="0.35">
      <c r="A56" s="2">
        <v>1024</v>
      </c>
      <c r="B56" s="3">
        <v>45289</v>
      </c>
      <c r="C56" s="1" t="s">
        <v>17</v>
      </c>
      <c r="D56" s="1" t="s">
        <v>10</v>
      </c>
      <c r="E56" s="1" t="s">
        <v>11</v>
      </c>
      <c r="F56" s="1" t="s">
        <v>20</v>
      </c>
      <c r="G56" s="1" t="s">
        <v>13</v>
      </c>
      <c r="H56" s="2">
        <v>5</v>
      </c>
      <c r="I56" s="1">
        <v>3714.52</v>
      </c>
    </row>
    <row r="57" spans="1:9" x14ac:dyDescent="0.35">
      <c r="A57" s="2">
        <v>1059</v>
      </c>
      <c r="B57" s="3">
        <v>45067</v>
      </c>
      <c r="C57" s="1" t="s">
        <v>18</v>
      </c>
      <c r="D57" s="1" t="s">
        <v>22</v>
      </c>
      <c r="E57" s="1" t="s">
        <v>11</v>
      </c>
      <c r="F57" s="1" t="s">
        <v>12</v>
      </c>
      <c r="G57" s="1" t="s">
        <v>13</v>
      </c>
      <c r="H57" s="2">
        <v>37</v>
      </c>
      <c r="I57" s="1">
        <v>4172.3500000000004</v>
      </c>
    </row>
    <row r="58" spans="1:9" x14ac:dyDescent="0.35">
      <c r="A58" s="2">
        <v>1052</v>
      </c>
      <c r="B58" s="3">
        <v>45030</v>
      </c>
      <c r="C58" s="1" t="s">
        <v>14</v>
      </c>
      <c r="D58" s="1" t="s">
        <v>10</v>
      </c>
      <c r="E58" s="1" t="s">
        <v>11</v>
      </c>
      <c r="F58" s="1" t="s">
        <v>16</v>
      </c>
      <c r="G58" s="1" t="s">
        <v>13</v>
      </c>
      <c r="H58" s="2">
        <v>5</v>
      </c>
      <c r="I58" s="1">
        <v>856.91</v>
      </c>
    </row>
    <row r="59" spans="1:9" x14ac:dyDescent="0.35">
      <c r="A59" s="2">
        <v>1002</v>
      </c>
      <c r="B59" s="3">
        <v>45219</v>
      </c>
      <c r="C59" s="1" t="s">
        <v>14</v>
      </c>
      <c r="D59" s="1" t="s">
        <v>21</v>
      </c>
      <c r="E59" s="1" t="s">
        <v>11</v>
      </c>
      <c r="F59" s="1" t="s">
        <v>20</v>
      </c>
      <c r="G59" s="1" t="s">
        <v>13</v>
      </c>
      <c r="H59" s="2">
        <v>30</v>
      </c>
      <c r="I59" s="1">
        <v>4784.28</v>
      </c>
    </row>
    <row r="60" spans="1:9" x14ac:dyDescent="0.35">
      <c r="A60" s="2">
        <v>1059</v>
      </c>
      <c r="B60" s="3">
        <v>45018</v>
      </c>
      <c r="C60" s="1" t="s">
        <v>17</v>
      </c>
      <c r="D60" s="1" t="s">
        <v>15</v>
      </c>
      <c r="E60" s="1" t="s">
        <v>11</v>
      </c>
      <c r="F60" s="1" t="s">
        <v>12</v>
      </c>
      <c r="G60" s="1" t="s">
        <v>13</v>
      </c>
      <c r="H60" s="2">
        <v>12</v>
      </c>
      <c r="I60" s="1">
        <v>3955.75</v>
      </c>
    </row>
    <row r="61" spans="1:9" x14ac:dyDescent="0.35">
      <c r="A61" s="2">
        <v>1054</v>
      </c>
      <c r="B61" s="3">
        <v>45222</v>
      </c>
      <c r="C61" s="1" t="s">
        <v>14</v>
      </c>
      <c r="D61" s="1" t="s">
        <v>15</v>
      </c>
      <c r="E61" s="1" t="s">
        <v>11</v>
      </c>
      <c r="F61" s="1" t="s">
        <v>16</v>
      </c>
      <c r="G61" s="1" t="s">
        <v>13</v>
      </c>
      <c r="H61" s="2">
        <v>8</v>
      </c>
      <c r="I61" s="1">
        <v>4177.0600000000004</v>
      </c>
    </row>
    <row r="62" spans="1:9" x14ac:dyDescent="0.35">
      <c r="A62" s="2">
        <v>1096</v>
      </c>
      <c r="B62" s="3">
        <v>45140</v>
      </c>
      <c r="C62" s="1" t="s">
        <v>9</v>
      </c>
      <c r="D62" s="1" t="s">
        <v>22</v>
      </c>
      <c r="E62" s="1" t="s">
        <v>11</v>
      </c>
      <c r="F62" s="1" t="s">
        <v>16</v>
      </c>
      <c r="G62" s="1" t="s">
        <v>13</v>
      </c>
      <c r="H62" s="2">
        <v>30</v>
      </c>
      <c r="I62" s="1">
        <v>4281.79</v>
      </c>
    </row>
    <row r="63" spans="1:9" x14ac:dyDescent="0.35">
      <c r="A63" s="2">
        <v>1097</v>
      </c>
      <c r="B63" s="3">
        <v>45193</v>
      </c>
      <c r="C63" s="1" t="s">
        <v>18</v>
      </c>
      <c r="D63" s="1" t="s">
        <v>15</v>
      </c>
      <c r="E63" s="1" t="s">
        <v>11</v>
      </c>
      <c r="F63" s="1" t="s">
        <v>20</v>
      </c>
      <c r="G63" s="1" t="s">
        <v>13</v>
      </c>
      <c r="H63" s="2">
        <v>9</v>
      </c>
      <c r="I63" s="1">
        <v>4548.09</v>
      </c>
    </row>
    <row r="64" spans="1:9" x14ac:dyDescent="0.35">
      <c r="A64" s="2">
        <v>1053</v>
      </c>
      <c r="B64" s="3">
        <v>45272</v>
      </c>
      <c r="C64" s="1" t="s">
        <v>18</v>
      </c>
      <c r="D64" s="1" t="s">
        <v>22</v>
      </c>
      <c r="E64" s="1" t="s">
        <v>11</v>
      </c>
      <c r="F64" s="1" t="s">
        <v>16</v>
      </c>
      <c r="G64" s="1" t="s">
        <v>13</v>
      </c>
      <c r="H64" s="2">
        <v>47</v>
      </c>
      <c r="I64" s="1">
        <v>3696.1</v>
      </c>
    </row>
    <row r="65" spans="1:9" x14ac:dyDescent="0.35">
      <c r="A65" s="2">
        <v>1032</v>
      </c>
      <c r="B65" s="3">
        <v>45239</v>
      </c>
      <c r="C65" s="1" t="s">
        <v>9</v>
      </c>
      <c r="D65" s="1" t="s">
        <v>22</v>
      </c>
      <c r="E65" s="1" t="s">
        <v>11</v>
      </c>
      <c r="F65" s="1" t="s">
        <v>20</v>
      </c>
      <c r="G65" s="1" t="s">
        <v>13</v>
      </c>
      <c r="H65" s="2">
        <v>25</v>
      </c>
      <c r="I65" s="1">
        <v>3337.4</v>
      </c>
    </row>
    <row r="66" spans="1:9" x14ac:dyDescent="0.35">
      <c r="A66" s="2">
        <v>1070</v>
      </c>
      <c r="B66" s="3">
        <v>44927</v>
      </c>
      <c r="C66" s="1" t="s">
        <v>17</v>
      </c>
      <c r="D66" s="1" t="s">
        <v>10</v>
      </c>
      <c r="E66" s="1" t="s">
        <v>11</v>
      </c>
      <c r="F66" s="1" t="s">
        <v>16</v>
      </c>
      <c r="G66" s="1" t="s">
        <v>13</v>
      </c>
      <c r="H66" s="2">
        <v>12</v>
      </c>
      <c r="I66" s="1">
        <v>863.03</v>
      </c>
    </row>
    <row r="67" spans="1:9" x14ac:dyDescent="0.35">
      <c r="A67" s="2">
        <v>1032</v>
      </c>
      <c r="B67" s="3">
        <v>45245</v>
      </c>
      <c r="C67" s="1" t="s">
        <v>18</v>
      </c>
      <c r="D67" s="1" t="s">
        <v>15</v>
      </c>
      <c r="E67" s="1" t="s">
        <v>11</v>
      </c>
      <c r="F67" s="1" t="s">
        <v>16</v>
      </c>
      <c r="G67" s="1" t="s">
        <v>13</v>
      </c>
      <c r="H67" s="2">
        <v>1</v>
      </c>
      <c r="I67" s="1">
        <v>865.76</v>
      </c>
    </row>
    <row r="68" spans="1:9" x14ac:dyDescent="0.35">
      <c r="A68" s="2">
        <v>1056</v>
      </c>
      <c r="B68" s="3">
        <v>45063</v>
      </c>
      <c r="C68" s="1" t="s">
        <v>14</v>
      </c>
      <c r="D68" s="1" t="s">
        <v>10</v>
      </c>
      <c r="E68" s="1" t="s">
        <v>11</v>
      </c>
      <c r="F68" s="1" t="s">
        <v>12</v>
      </c>
      <c r="G68" s="1" t="s">
        <v>13</v>
      </c>
      <c r="H68" s="2">
        <v>47</v>
      </c>
      <c r="I68" s="1">
        <v>2529.02</v>
      </c>
    </row>
    <row r="69" spans="1:9" x14ac:dyDescent="0.35">
      <c r="A69" s="2">
        <v>1011</v>
      </c>
      <c r="B69" s="3">
        <v>44951</v>
      </c>
      <c r="C69" s="1" t="s">
        <v>17</v>
      </c>
      <c r="D69" s="1" t="s">
        <v>22</v>
      </c>
      <c r="E69" s="1" t="s">
        <v>11</v>
      </c>
      <c r="F69" s="1" t="s">
        <v>12</v>
      </c>
      <c r="G69" s="1" t="s">
        <v>13</v>
      </c>
      <c r="H69" s="2">
        <v>22</v>
      </c>
      <c r="I69" s="1">
        <v>1510.3</v>
      </c>
    </row>
    <row r="70" spans="1:9" x14ac:dyDescent="0.35">
      <c r="A70" s="2">
        <v>1059</v>
      </c>
      <c r="B70" s="3">
        <v>45136</v>
      </c>
      <c r="C70" s="1" t="s">
        <v>9</v>
      </c>
      <c r="D70" s="1" t="s">
        <v>10</v>
      </c>
      <c r="E70" s="1" t="s">
        <v>11</v>
      </c>
      <c r="F70" s="1" t="s">
        <v>20</v>
      </c>
      <c r="G70" s="1" t="s">
        <v>13</v>
      </c>
      <c r="H70" s="2">
        <v>16</v>
      </c>
      <c r="I70" s="1">
        <v>4464.28</v>
      </c>
    </row>
    <row r="71" spans="1:9" x14ac:dyDescent="0.35">
      <c r="A71" s="2">
        <v>1093</v>
      </c>
      <c r="B71" s="3">
        <v>45054</v>
      </c>
      <c r="C71" s="1" t="s">
        <v>9</v>
      </c>
      <c r="D71" s="1" t="s">
        <v>10</v>
      </c>
      <c r="E71" s="1" t="s">
        <v>11</v>
      </c>
      <c r="F71" s="1" t="s">
        <v>20</v>
      </c>
      <c r="G71" s="1" t="s">
        <v>13</v>
      </c>
      <c r="H71" s="2">
        <v>17</v>
      </c>
      <c r="I71" s="1">
        <v>764.54</v>
      </c>
    </row>
    <row r="72" spans="1:9" x14ac:dyDescent="0.35">
      <c r="A72" s="2">
        <v>1003</v>
      </c>
      <c r="B72" s="3">
        <v>45290</v>
      </c>
      <c r="C72" s="1" t="s">
        <v>18</v>
      </c>
      <c r="D72" s="1" t="s">
        <v>10</v>
      </c>
      <c r="E72" s="1" t="s">
        <v>11</v>
      </c>
      <c r="F72" s="1" t="s">
        <v>12</v>
      </c>
      <c r="G72" s="1" t="s">
        <v>13</v>
      </c>
      <c r="H72" s="2">
        <v>17</v>
      </c>
      <c r="I72" s="1">
        <v>676.66</v>
      </c>
    </row>
    <row r="73" spans="1:9" x14ac:dyDescent="0.35">
      <c r="A73" s="2">
        <v>1052</v>
      </c>
      <c r="B73" s="3">
        <v>45211</v>
      </c>
      <c r="C73" s="1" t="s">
        <v>14</v>
      </c>
      <c r="D73" s="1" t="s">
        <v>22</v>
      </c>
      <c r="E73" s="1" t="s">
        <v>11</v>
      </c>
      <c r="F73" s="1" t="s">
        <v>12</v>
      </c>
      <c r="G73" s="1" t="s">
        <v>13</v>
      </c>
      <c r="H73" s="2">
        <v>46</v>
      </c>
      <c r="I73" s="1">
        <v>3198.49</v>
      </c>
    </row>
    <row r="74" spans="1:9" x14ac:dyDescent="0.35">
      <c r="A74" s="2">
        <v>1033</v>
      </c>
      <c r="B74" s="3">
        <v>44989</v>
      </c>
      <c r="C74" s="1" t="s">
        <v>9</v>
      </c>
      <c r="D74" s="1" t="s">
        <v>21</v>
      </c>
      <c r="E74" s="1" t="s">
        <v>11</v>
      </c>
      <c r="F74" s="1" t="s">
        <v>12</v>
      </c>
      <c r="G74" s="1" t="s">
        <v>13</v>
      </c>
      <c r="H74" s="2">
        <v>14</v>
      </c>
      <c r="I74" s="1">
        <v>753.81</v>
      </c>
    </row>
    <row r="75" spans="1:9" x14ac:dyDescent="0.35">
      <c r="A75" s="2">
        <v>1001</v>
      </c>
      <c r="B75" s="3">
        <v>44975</v>
      </c>
      <c r="C75" s="1" t="s">
        <v>14</v>
      </c>
      <c r="D75" s="1" t="s">
        <v>21</v>
      </c>
      <c r="E75" s="1" t="s">
        <v>11</v>
      </c>
      <c r="F75" s="1" t="s">
        <v>20</v>
      </c>
      <c r="G75" s="1" t="s">
        <v>13</v>
      </c>
      <c r="H75" s="2">
        <v>27</v>
      </c>
      <c r="I75" s="1">
        <v>1286.92</v>
      </c>
    </row>
    <row r="76" spans="1:9" x14ac:dyDescent="0.35">
      <c r="A76" s="2">
        <v>1023</v>
      </c>
      <c r="B76" s="3">
        <v>45044</v>
      </c>
      <c r="C76" s="1" t="s">
        <v>19</v>
      </c>
      <c r="D76" s="1" t="s">
        <v>22</v>
      </c>
      <c r="E76" s="1" t="s">
        <v>11</v>
      </c>
      <c r="F76" s="1" t="s">
        <v>20</v>
      </c>
      <c r="G76" s="1" t="s">
        <v>13</v>
      </c>
      <c r="H76" s="2">
        <v>5</v>
      </c>
      <c r="I76" s="1">
        <v>2482.34</v>
      </c>
    </row>
    <row r="77" spans="1:9" x14ac:dyDescent="0.35">
      <c r="A77" s="2">
        <v>1094</v>
      </c>
      <c r="B77" s="3">
        <v>44989</v>
      </c>
      <c r="C77" s="1" t="s">
        <v>9</v>
      </c>
      <c r="D77" s="1" t="s">
        <v>15</v>
      </c>
      <c r="E77" s="1" t="s">
        <v>11</v>
      </c>
      <c r="F77" s="1" t="s">
        <v>20</v>
      </c>
      <c r="G77" s="1" t="s">
        <v>13</v>
      </c>
      <c r="H77" s="2">
        <v>49</v>
      </c>
      <c r="I77" s="1">
        <v>715.84</v>
      </c>
    </row>
    <row r="78" spans="1:9" x14ac:dyDescent="0.35">
      <c r="A78" s="2">
        <v>1042</v>
      </c>
      <c r="B78" s="3">
        <v>45115</v>
      </c>
      <c r="C78" s="1" t="s">
        <v>18</v>
      </c>
      <c r="D78" s="1" t="s">
        <v>22</v>
      </c>
      <c r="E78" s="1" t="s">
        <v>11</v>
      </c>
      <c r="F78" s="1" t="s">
        <v>20</v>
      </c>
      <c r="G78" s="1" t="s">
        <v>13</v>
      </c>
      <c r="H78" s="2">
        <v>23</v>
      </c>
      <c r="I78" s="1">
        <v>1567.78</v>
      </c>
    </row>
    <row r="79" spans="1:9" x14ac:dyDescent="0.35">
      <c r="A79" s="2">
        <v>1007</v>
      </c>
      <c r="B79" s="3">
        <v>44975</v>
      </c>
      <c r="C79" s="1" t="s">
        <v>18</v>
      </c>
      <c r="D79" s="1" t="s">
        <v>21</v>
      </c>
      <c r="E79" s="1" t="s">
        <v>11</v>
      </c>
      <c r="F79" s="1" t="s">
        <v>16</v>
      </c>
      <c r="G79" s="1" t="s">
        <v>13</v>
      </c>
      <c r="H79" s="2">
        <v>34</v>
      </c>
      <c r="I79" s="1">
        <v>2289.27</v>
      </c>
    </row>
    <row r="80" spans="1:9" x14ac:dyDescent="0.35">
      <c r="A80" s="2">
        <v>1060</v>
      </c>
      <c r="B80" s="3">
        <v>45150</v>
      </c>
      <c r="C80" s="1" t="s">
        <v>14</v>
      </c>
      <c r="D80" s="1" t="s">
        <v>10</v>
      </c>
      <c r="E80" s="1" t="s">
        <v>11</v>
      </c>
      <c r="F80" s="1" t="s">
        <v>12</v>
      </c>
      <c r="G80" s="1" t="s">
        <v>13</v>
      </c>
      <c r="H80" s="2">
        <v>5</v>
      </c>
      <c r="I80" s="1">
        <v>4096.4799999999996</v>
      </c>
    </row>
    <row r="81" spans="1:9" x14ac:dyDescent="0.35">
      <c r="A81" s="2">
        <v>1001</v>
      </c>
      <c r="B81" s="3">
        <v>45141</v>
      </c>
      <c r="C81" s="1" t="s">
        <v>9</v>
      </c>
      <c r="D81" s="1" t="s">
        <v>15</v>
      </c>
      <c r="E81" s="1" t="s">
        <v>11</v>
      </c>
      <c r="F81" s="1" t="s">
        <v>12</v>
      </c>
      <c r="G81" s="1" t="s">
        <v>13</v>
      </c>
      <c r="H81" s="2">
        <v>20</v>
      </c>
      <c r="I81" s="1">
        <v>2303.6999999999998</v>
      </c>
    </row>
    <row r="82" spans="1:9" x14ac:dyDescent="0.35">
      <c r="A82" s="2">
        <v>1012</v>
      </c>
      <c r="B82" s="3">
        <v>45244</v>
      </c>
      <c r="C82" s="1" t="s">
        <v>17</v>
      </c>
      <c r="D82" s="1" t="s">
        <v>21</v>
      </c>
      <c r="E82" s="1" t="s">
        <v>11</v>
      </c>
      <c r="F82" s="1" t="s">
        <v>16</v>
      </c>
      <c r="G82" s="1" t="s">
        <v>13</v>
      </c>
      <c r="H82" s="2">
        <v>6</v>
      </c>
      <c r="I82" s="1">
        <v>4082.62</v>
      </c>
    </row>
    <row r="83" spans="1:9" x14ac:dyDescent="0.35">
      <c r="A83" s="2">
        <v>1032</v>
      </c>
      <c r="B83" s="3">
        <v>45211</v>
      </c>
      <c r="C83" s="1" t="s">
        <v>18</v>
      </c>
      <c r="D83" s="1" t="s">
        <v>21</v>
      </c>
      <c r="E83" s="1" t="s">
        <v>11</v>
      </c>
      <c r="F83" s="1" t="s">
        <v>20</v>
      </c>
      <c r="G83" s="1" t="s">
        <v>13</v>
      </c>
      <c r="H83" s="2">
        <v>17</v>
      </c>
      <c r="I83" s="1">
        <v>1528.59</v>
      </c>
    </row>
    <row r="84" spans="1:9" x14ac:dyDescent="0.35">
      <c r="A84" s="2">
        <v>1009</v>
      </c>
      <c r="B84" s="3">
        <v>45231</v>
      </c>
      <c r="C84" s="1" t="s">
        <v>9</v>
      </c>
      <c r="D84" s="1" t="s">
        <v>15</v>
      </c>
      <c r="E84" s="1" t="s">
        <v>11</v>
      </c>
      <c r="F84" s="1" t="s">
        <v>20</v>
      </c>
      <c r="G84" s="1" t="s">
        <v>13</v>
      </c>
      <c r="H84" s="2">
        <v>14</v>
      </c>
      <c r="I84" s="1">
        <v>958.76</v>
      </c>
    </row>
    <row r="85" spans="1:9" x14ac:dyDescent="0.35">
      <c r="A85" s="2">
        <v>1048</v>
      </c>
      <c r="B85" s="3">
        <v>44945</v>
      </c>
      <c r="C85" s="1" t="s">
        <v>9</v>
      </c>
      <c r="D85" s="1" t="s">
        <v>21</v>
      </c>
      <c r="E85" s="1" t="s">
        <v>11</v>
      </c>
      <c r="F85" s="1" t="s">
        <v>20</v>
      </c>
      <c r="G85" s="1" t="s">
        <v>13</v>
      </c>
      <c r="H85" s="2">
        <v>7</v>
      </c>
      <c r="I85" s="1">
        <v>4723.2</v>
      </c>
    </row>
    <row r="86" spans="1:9" x14ac:dyDescent="0.35">
      <c r="A86" s="2">
        <v>1003</v>
      </c>
      <c r="B86" s="3">
        <v>45183</v>
      </c>
      <c r="C86" s="1" t="s">
        <v>9</v>
      </c>
      <c r="D86" s="1" t="s">
        <v>21</v>
      </c>
      <c r="E86" s="1" t="s">
        <v>11</v>
      </c>
      <c r="F86" s="1" t="s">
        <v>20</v>
      </c>
      <c r="G86" s="1" t="s">
        <v>13</v>
      </c>
      <c r="H86" s="2">
        <v>15</v>
      </c>
      <c r="I86" s="1">
        <v>3388.84</v>
      </c>
    </row>
    <row r="87" spans="1:9" x14ac:dyDescent="0.35">
      <c r="A87" s="2">
        <v>1052</v>
      </c>
      <c r="B87" s="3">
        <v>44960</v>
      </c>
      <c r="C87" s="1" t="s">
        <v>9</v>
      </c>
      <c r="D87" s="1" t="s">
        <v>10</v>
      </c>
      <c r="E87" s="1" t="s">
        <v>11</v>
      </c>
      <c r="F87" s="1" t="s">
        <v>12</v>
      </c>
      <c r="G87" s="1" t="s">
        <v>23</v>
      </c>
      <c r="H87" s="2">
        <v>18</v>
      </c>
      <c r="I87" s="1">
        <v>267.22000000000003</v>
      </c>
    </row>
    <row r="88" spans="1:9" x14ac:dyDescent="0.35">
      <c r="A88" s="2">
        <v>1083</v>
      </c>
      <c r="B88" s="3">
        <v>45027</v>
      </c>
      <c r="C88" s="1" t="s">
        <v>9</v>
      </c>
      <c r="D88" s="1" t="s">
        <v>10</v>
      </c>
      <c r="E88" s="1" t="s">
        <v>11</v>
      </c>
      <c r="F88" s="1" t="s">
        <v>12</v>
      </c>
      <c r="G88" s="1" t="s">
        <v>23</v>
      </c>
      <c r="H88" s="2">
        <v>29</v>
      </c>
      <c r="I88" s="1">
        <v>2624.09</v>
      </c>
    </row>
    <row r="89" spans="1:9" x14ac:dyDescent="0.35">
      <c r="A89" s="2">
        <v>1100</v>
      </c>
      <c r="B89" s="3">
        <v>45152</v>
      </c>
      <c r="C89" s="1" t="s">
        <v>9</v>
      </c>
      <c r="D89" s="1" t="s">
        <v>15</v>
      </c>
      <c r="E89" s="1" t="s">
        <v>11</v>
      </c>
      <c r="F89" s="1" t="s">
        <v>16</v>
      </c>
      <c r="G89" s="1" t="s">
        <v>23</v>
      </c>
      <c r="H89" s="2">
        <v>43</v>
      </c>
      <c r="I89" s="1">
        <v>1137.44</v>
      </c>
    </row>
    <row r="90" spans="1:9" x14ac:dyDescent="0.35">
      <c r="A90" s="2">
        <v>1002</v>
      </c>
      <c r="B90" s="3">
        <v>45076</v>
      </c>
      <c r="C90" s="1" t="s">
        <v>14</v>
      </c>
      <c r="D90" s="1" t="s">
        <v>10</v>
      </c>
      <c r="E90" s="1" t="s">
        <v>11</v>
      </c>
      <c r="F90" s="1" t="s">
        <v>12</v>
      </c>
      <c r="G90" s="1" t="s">
        <v>23</v>
      </c>
      <c r="H90" s="2">
        <v>17</v>
      </c>
      <c r="I90" s="1">
        <v>4420.1499999999996</v>
      </c>
    </row>
    <row r="91" spans="1:9" x14ac:dyDescent="0.35">
      <c r="A91" s="2">
        <v>1030</v>
      </c>
      <c r="B91" s="3">
        <v>45124</v>
      </c>
      <c r="C91" s="1" t="s">
        <v>14</v>
      </c>
      <c r="D91" s="1" t="s">
        <v>21</v>
      </c>
      <c r="E91" s="1" t="s">
        <v>11</v>
      </c>
      <c r="F91" s="1" t="s">
        <v>12</v>
      </c>
      <c r="G91" s="1" t="s">
        <v>23</v>
      </c>
      <c r="H91" s="2">
        <v>19</v>
      </c>
      <c r="I91" s="1">
        <v>3209.22</v>
      </c>
    </row>
    <row r="92" spans="1:9" x14ac:dyDescent="0.35">
      <c r="A92" s="2">
        <v>1038</v>
      </c>
      <c r="B92" s="3">
        <v>44996</v>
      </c>
      <c r="C92" s="1" t="s">
        <v>9</v>
      </c>
      <c r="D92" s="1" t="s">
        <v>21</v>
      </c>
      <c r="E92" s="1" t="s">
        <v>11</v>
      </c>
      <c r="F92" s="1" t="s">
        <v>12</v>
      </c>
      <c r="G92" s="1" t="s">
        <v>23</v>
      </c>
      <c r="H92" s="2">
        <v>15</v>
      </c>
      <c r="I92" s="1">
        <v>2790.1</v>
      </c>
    </row>
    <row r="93" spans="1:9" x14ac:dyDescent="0.35">
      <c r="A93" s="2">
        <v>1021</v>
      </c>
      <c r="B93" s="3">
        <v>45257</v>
      </c>
      <c r="C93" s="1" t="s">
        <v>18</v>
      </c>
      <c r="D93" s="1" t="s">
        <v>10</v>
      </c>
      <c r="E93" s="1" t="s">
        <v>11</v>
      </c>
      <c r="F93" s="1" t="s">
        <v>16</v>
      </c>
      <c r="G93" s="1" t="s">
        <v>23</v>
      </c>
      <c r="H93" s="2">
        <v>31</v>
      </c>
      <c r="I93" s="1">
        <v>2441.79</v>
      </c>
    </row>
    <row r="94" spans="1:9" x14ac:dyDescent="0.35">
      <c r="A94" s="2">
        <v>1049</v>
      </c>
      <c r="B94" s="3">
        <v>45063</v>
      </c>
      <c r="C94" s="1" t="s">
        <v>18</v>
      </c>
      <c r="D94" s="1" t="s">
        <v>10</v>
      </c>
      <c r="E94" s="1" t="s">
        <v>11</v>
      </c>
      <c r="F94" s="1" t="s">
        <v>16</v>
      </c>
      <c r="G94" s="1" t="s">
        <v>23</v>
      </c>
      <c r="H94" s="2">
        <v>1</v>
      </c>
      <c r="I94" s="1">
        <v>3317.75</v>
      </c>
    </row>
    <row r="95" spans="1:9" x14ac:dyDescent="0.35">
      <c r="A95" s="2">
        <v>1059</v>
      </c>
      <c r="B95" s="3">
        <v>45169</v>
      </c>
      <c r="C95" s="1" t="s">
        <v>18</v>
      </c>
      <c r="D95" s="1" t="s">
        <v>15</v>
      </c>
      <c r="E95" s="1" t="s">
        <v>11</v>
      </c>
      <c r="F95" s="1" t="s">
        <v>20</v>
      </c>
      <c r="G95" s="1" t="s">
        <v>23</v>
      </c>
      <c r="H95" s="2">
        <v>35</v>
      </c>
      <c r="I95" s="1">
        <v>3764.52</v>
      </c>
    </row>
    <row r="96" spans="1:9" x14ac:dyDescent="0.35">
      <c r="A96" s="2">
        <v>1042</v>
      </c>
      <c r="B96" s="3">
        <v>44957</v>
      </c>
      <c r="C96" s="1" t="s">
        <v>18</v>
      </c>
      <c r="D96" s="1" t="s">
        <v>15</v>
      </c>
      <c r="E96" s="1" t="s">
        <v>11</v>
      </c>
      <c r="F96" s="1" t="s">
        <v>12</v>
      </c>
      <c r="G96" s="1" t="s">
        <v>23</v>
      </c>
      <c r="H96" s="2">
        <v>11</v>
      </c>
      <c r="I96" s="1">
        <v>814.14</v>
      </c>
    </row>
    <row r="97" spans="1:9" x14ac:dyDescent="0.35">
      <c r="A97" s="2">
        <v>1047</v>
      </c>
      <c r="B97" s="3">
        <v>45146</v>
      </c>
      <c r="C97" s="1" t="s">
        <v>14</v>
      </c>
      <c r="D97" s="1" t="s">
        <v>22</v>
      </c>
      <c r="E97" s="1" t="s">
        <v>11</v>
      </c>
      <c r="F97" s="1" t="s">
        <v>20</v>
      </c>
      <c r="G97" s="1" t="s">
        <v>23</v>
      </c>
      <c r="H97" s="2">
        <v>33</v>
      </c>
      <c r="I97" s="1">
        <v>1427.21</v>
      </c>
    </row>
    <row r="98" spans="1:9" x14ac:dyDescent="0.35">
      <c r="A98" s="2">
        <v>1062</v>
      </c>
      <c r="B98" s="3">
        <v>45001</v>
      </c>
      <c r="C98" s="1" t="s">
        <v>14</v>
      </c>
      <c r="D98" s="1" t="s">
        <v>10</v>
      </c>
      <c r="E98" s="1" t="s">
        <v>11</v>
      </c>
      <c r="F98" s="1" t="s">
        <v>20</v>
      </c>
      <c r="G98" s="1" t="s">
        <v>23</v>
      </c>
      <c r="H98" s="2">
        <v>45</v>
      </c>
      <c r="I98" s="1">
        <v>5166.72</v>
      </c>
    </row>
    <row r="99" spans="1:9" x14ac:dyDescent="0.35">
      <c r="A99" s="2">
        <v>1055</v>
      </c>
      <c r="B99" s="3">
        <v>45261</v>
      </c>
      <c r="C99" s="1" t="s">
        <v>19</v>
      </c>
      <c r="D99" s="1" t="s">
        <v>10</v>
      </c>
      <c r="E99" s="1" t="s">
        <v>11</v>
      </c>
      <c r="F99" s="1" t="s">
        <v>16</v>
      </c>
      <c r="G99" s="1" t="s">
        <v>23</v>
      </c>
      <c r="H99" s="2">
        <v>8</v>
      </c>
      <c r="I99" s="1">
        <v>3838.42</v>
      </c>
    </row>
    <row r="100" spans="1:9" x14ac:dyDescent="0.35">
      <c r="A100" s="2">
        <v>1064</v>
      </c>
      <c r="B100" s="3">
        <v>45060</v>
      </c>
      <c r="C100" s="1" t="s">
        <v>9</v>
      </c>
      <c r="D100" s="1" t="s">
        <v>22</v>
      </c>
      <c r="E100" s="1" t="s">
        <v>11</v>
      </c>
      <c r="F100" s="1" t="s">
        <v>12</v>
      </c>
      <c r="G100" s="1" t="s">
        <v>23</v>
      </c>
      <c r="H100" s="2">
        <v>8</v>
      </c>
      <c r="I100" s="1">
        <v>4417.79</v>
      </c>
    </row>
    <row r="101" spans="1:9" x14ac:dyDescent="0.35">
      <c r="A101" s="2">
        <v>1003</v>
      </c>
      <c r="B101" s="3">
        <v>45044</v>
      </c>
      <c r="C101" s="1" t="s">
        <v>19</v>
      </c>
      <c r="D101" s="1" t="s">
        <v>10</v>
      </c>
      <c r="E101" s="1" t="s">
        <v>11</v>
      </c>
      <c r="F101" s="1" t="s">
        <v>12</v>
      </c>
      <c r="G101" s="1" t="s">
        <v>23</v>
      </c>
      <c r="H101" s="2">
        <v>27</v>
      </c>
      <c r="I101" s="1">
        <v>853.66</v>
      </c>
    </row>
    <row r="102" spans="1:9" x14ac:dyDescent="0.35">
      <c r="A102" s="2">
        <v>1051</v>
      </c>
      <c r="B102" s="3">
        <v>45020</v>
      </c>
      <c r="C102" s="1" t="s">
        <v>9</v>
      </c>
      <c r="D102" s="1" t="s">
        <v>22</v>
      </c>
      <c r="E102" s="1" t="s">
        <v>11</v>
      </c>
      <c r="F102" s="1" t="s">
        <v>12</v>
      </c>
      <c r="G102" s="1" t="s">
        <v>23</v>
      </c>
      <c r="H102" s="2">
        <v>12</v>
      </c>
      <c r="I102" s="1">
        <v>3723.66</v>
      </c>
    </row>
    <row r="103" spans="1:9" x14ac:dyDescent="0.35">
      <c r="A103" s="2">
        <v>1007</v>
      </c>
      <c r="B103" s="3">
        <v>44988</v>
      </c>
      <c r="C103" s="1" t="s">
        <v>17</v>
      </c>
      <c r="D103" s="1" t="s">
        <v>15</v>
      </c>
      <c r="E103" s="1" t="s">
        <v>11</v>
      </c>
      <c r="F103" s="1" t="s">
        <v>20</v>
      </c>
      <c r="G103" s="1" t="s">
        <v>23</v>
      </c>
      <c r="H103" s="2">
        <v>1</v>
      </c>
      <c r="I103" s="1">
        <v>2637.91</v>
      </c>
    </row>
    <row r="104" spans="1:9" x14ac:dyDescent="0.35">
      <c r="A104" s="2">
        <v>1018</v>
      </c>
      <c r="B104" s="3">
        <v>44952</v>
      </c>
      <c r="C104" s="1" t="s">
        <v>18</v>
      </c>
      <c r="D104" s="1" t="s">
        <v>21</v>
      </c>
      <c r="E104" s="1" t="s">
        <v>11</v>
      </c>
      <c r="F104" s="1" t="s">
        <v>12</v>
      </c>
      <c r="G104" s="1" t="s">
        <v>23</v>
      </c>
      <c r="H104" s="2">
        <v>11</v>
      </c>
      <c r="I104" s="1">
        <v>2519.0700000000002</v>
      </c>
    </row>
    <row r="105" spans="1:9" x14ac:dyDescent="0.35">
      <c r="A105" s="2">
        <v>1004</v>
      </c>
      <c r="B105" s="3">
        <v>45099</v>
      </c>
      <c r="C105" s="1" t="s">
        <v>17</v>
      </c>
      <c r="D105" s="1" t="s">
        <v>22</v>
      </c>
      <c r="E105" s="1" t="s">
        <v>11</v>
      </c>
      <c r="F105" s="1" t="s">
        <v>12</v>
      </c>
      <c r="G105" s="1" t="s">
        <v>23</v>
      </c>
      <c r="H105" s="2">
        <v>39</v>
      </c>
      <c r="I105" s="1">
        <v>2778.4</v>
      </c>
    </row>
    <row r="106" spans="1:9" x14ac:dyDescent="0.35">
      <c r="A106" s="2">
        <v>1089</v>
      </c>
      <c r="B106" s="3">
        <v>45226</v>
      </c>
      <c r="C106" s="1" t="s">
        <v>14</v>
      </c>
      <c r="D106" s="1" t="s">
        <v>10</v>
      </c>
      <c r="E106" s="1" t="s">
        <v>11</v>
      </c>
      <c r="F106" s="1" t="s">
        <v>20</v>
      </c>
      <c r="G106" s="1" t="s">
        <v>23</v>
      </c>
      <c r="H106" s="2">
        <v>43</v>
      </c>
      <c r="I106" s="1">
        <v>4186.9799999999996</v>
      </c>
    </row>
    <row r="107" spans="1:9" x14ac:dyDescent="0.35">
      <c r="A107" s="2">
        <v>1060</v>
      </c>
      <c r="B107" s="3">
        <v>45059</v>
      </c>
      <c r="C107" s="1" t="s">
        <v>19</v>
      </c>
      <c r="D107" s="1" t="s">
        <v>22</v>
      </c>
      <c r="E107" s="1" t="s">
        <v>11</v>
      </c>
      <c r="F107" s="1" t="s">
        <v>16</v>
      </c>
      <c r="G107" s="1" t="s">
        <v>23</v>
      </c>
      <c r="H107" s="2">
        <v>31</v>
      </c>
      <c r="I107" s="1">
        <v>3339.66</v>
      </c>
    </row>
    <row r="108" spans="1:9" x14ac:dyDescent="0.35">
      <c r="A108" s="2">
        <v>1053</v>
      </c>
      <c r="B108" s="3">
        <v>45201</v>
      </c>
      <c r="C108" s="1" t="s">
        <v>14</v>
      </c>
      <c r="D108" s="1" t="s">
        <v>22</v>
      </c>
      <c r="E108" s="1" t="s">
        <v>11</v>
      </c>
      <c r="F108" s="1" t="s">
        <v>20</v>
      </c>
      <c r="G108" s="1" t="s">
        <v>23</v>
      </c>
      <c r="H108" s="2">
        <v>29</v>
      </c>
      <c r="I108" s="1">
        <v>4061.04</v>
      </c>
    </row>
    <row r="109" spans="1:9" x14ac:dyDescent="0.35">
      <c r="A109" s="2">
        <v>1008</v>
      </c>
      <c r="B109" s="3">
        <v>44927</v>
      </c>
      <c r="C109" s="1" t="s">
        <v>17</v>
      </c>
      <c r="D109" s="1" t="s">
        <v>21</v>
      </c>
      <c r="E109" s="1" t="s">
        <v>11</v>
      </c>
      <c r="F109" s="1" t="s">
        <v>12</v>
      </c>
      <c r="G109" s="1" t="s">
        <v>23</v>
      </c>
      <c r="H109" s="2">
        <v>38</v>
      </c>
      <c r="I109" s="1">
        <v>5075.4399999999996</v>
      </c>
    </row>
    <row r="110" spans="1:9" x14ac:dyDescent="0.35">
      <c r="A110" s="2">
        <v>1047</v>
      </c>
      <c r="B110" s="3">
        <v>45016</v>
      </c>
      <c r="C110" s="1" t="s">
        <v>18</v>
      </c>
      <c r="D110" s="1" t="s">
        <v>22</v>
      </c>
      <c r="E110" s="1" t="s">
        <v>11</v>
      </c>
      <c r="F110" s="1" t="s">
        <v>20</v>
      </c>
      <c r="G110" s="1" t="s">
        <v>23</v>
      </c>
      <c r="H110" s="2">
        <v>37</v>
      </c>
      <c r="I110" s="1">
        <v>3256.78</v>
      </c>
    </row>
    <row r="111" spans="1:9" x14ac:dyDescent="0.35">
      <c r="A111" s="2">
        <v>1078</v>
      </c>
      <c r="B111" s="3">
        <v>45246</v>
      </c>
      <c r="C111" s="1" t="s">
        <v>14</v>
      </c>
      <c r="D111" s="1" t="s">
        <v>10</v>
      </c>
      <c r="E111" s="1" t="s">
        <v>11</v>
      </c>
      <c r="F111" s="1" t="s">
        <v>16</v>
      </c>
      <c r="G111" s="1" t="s">
        <v>23</v>
      </c>
      <c r="H111" s="2">
        <v>8</v>
      </c>
      <c r="I111" s="1">
        <v>3657.23</v>
      </c>
    </row>
    <row r="112" spans="1:9" x14ac:dyDescent="0.35">
      <c r="A112" s="2">
        <v>1054</v>
      </c>
      <c r="B112" s="3">
        <v>44936</v>
      </c>
      <c r="C112" s="1" t="s">
        <v>17</v>
      </c>
      <c r="D112" s="1" t="s">
        <v>10</v>
      </c>
      <c r="E112" s="1" t="s">
        <v>11</v>
      </c>
      <c r="F112" s="1" t="s">
        <v>12</v>
      </c>
      <c r="G112" s="1" t="s">
        <v>23</v>
      </c>
      <c r="H112" s="2">
        <v>40</v>
      </c>
      <c r="I112" s="1">
        <v>2929.32</v>
      </c>
    </row>
    <row r="113" spans="1:9" x14ac:dyDescent="0.35">
      <c r="A113" s="2">
        <v>1074</v>
      </c>
      <c r="B113" s="3">
        <v>45010</v>
      </c>
      <c r="C113" s="1" t="s">
        <v>17</v>
      </c>
      <c r="D113" s="1" t="s">
        <v>15</v>
      </c>
      <c r="E113" s="1" t="s">
        <v>11</v>
      </c>
      <c r="F113" s="1" t="s">
        <v>20</v>
      </c>
      <c r="G113" s="1" t="s">
        <v>23</v>
      </c>
      <c r="H113" s="2">
        <v>38</v>
      </c>
      <c r="I113" s="1">
        <v>2836.94</v>
      </c>
    </row>
    <row r="114" spans="1:9" x14ac:dyDescent="0.35">
      <c r="A114" s="2">
        <v>1014</v>
      </c>
      <c r="B114" s="3">
        <v>45027</v>
      </c>
      <c r="C114" s="1" t="s">
        <v>18</v>
      </c>
      <c r="D114" s="1" t="s">
        <v>15</v>
      </c>
      <c r="E114" s="1" t="s">
        <v>11</v>
      </c>
      <c r="F114" s="1" t="s">
        <v>20</v>
      </c>
      <c r="G114" s="1" t="s">
        <v>23</v>
      </c>
      <c r="H114" s="2">
        <v>38</v>
      </c>
      <c r="I114" s="1">
        <v>2527</v>
      </c>
    </row>
    <row r="115" spans="1:9" x14ac:dyDescent="0.35">
      <c r="A115" s="2">
        <v>1040</v>
      </c>
      <c r="B115" s="3">
        <v>44995</v>
      </c>
      <c r="C115" s="1" t="s">
        <v>19</v>
      </c>
      <c r="D115" s="1" t="s">
        <v>21</v>
      </c>
      <c r="E115" s="1" t="s">
        <v>11</v>
      </c>
      <c r="F115" s="1" t="s">
        <v>20</v>
      </c>
      <c r="G115" s="1" t="s">
        <v>23</v>
      </c>
      <c r="H115" s="2">
        <v>13</v>
      </c>
      <c r="I115" s="1">
        <v>2882.85</v>
      </c>
    </row>
    <row r="116" spans="1:9" x14ac:dyDescent="0.35">
      <c r="A116" s="2">
        <v>1082</v>
      </c>
      <c r="B116" s="3">
        <v>45260</v>
      </c>
      <c r="C116" s="1" t="s">
        <v>18</v>
      </c>
      <c r="D116" s="1" t="s">
        <v>22</v>
      </c>
      <c r="E116" s="1" t="s">
        <v>11</v>
      </c>
      <c r="F116" s="1" t="s">
        <v>16</v>
      </c>
      <c r="G116" s="1" t="s">
        <v>23</v>
      </c>
      <c r="H116" s="2">
        <v>41</v>
      </c>
      <c r="I116" s="1">
        <v>1444.97</v>
      </c>
    </row>
    <row r="117" spans="1:9" x14ac:dyDescent="0.35">
      <c r="A117" s="2">
        <v>1045</v>
      </c>
      <c r="B117" s="3">
        <v>45275</v>
      </c>
      <c r="C117" s="1" t="s">
        <v>14</v>
      </c>
      <c r="D117" s="1" t="s">
        <v>21</v>
      </c>
      <c r="E117" s="1" t="s">
        <v>11</v>
      </c>
      <c r="F117" s="1" t="s">
        <v>12</v>
      </c>
      <c r="G117" s="1" t="s">
        <v>23</v>
      </c>
      <c r="H117" s="2">
        <v>42</v>
      </c>
      <c r="I117" s="1">
        <v>3745.91</v>
      </c>
    </row>
    <row r="118" spans="1:9" x14ac:dyDescent="0.35">
      <c r="A118" s="2">
        <v>1009</v>
      </c>
      <c r="B118" s="3">
        <v>45155</v>
      </c>
      <c r="C118" s="1" t="s">
        <v>9</v>
      </c>
      <c r="D118" s="1" t="s">
        <v>21</v>
      </c>
      <c r="E118" s="1" t="s">
        <v>11</v>
      </c>
      <c r="F118" s="1" t="s">
        <v>12</v>
      </c>
      <c r="G118" s="1" t="s">
        <v>23</v>
      </c>
      <c r="H118" s="2">
        <v>33</v>
      </c>
      <c r="I118" s="1">
        <v>918.17</v>
      </c>
    </row>
    <row r="119" spans="1:9" x14ac:dyDescent="0.35">
      <c r="A119" s="2">
        <v>1081</v>
      </c>
      <c r="B119" s="3">
        <v>44931</v>
      </c>
      <c r="C119" s="1" t="s">
        <v>9</v>
      </c>
      <c r="D119" s="1" t="s">
        <v>15</v>
      </c>
      <c r="E119" s="1" t="s">
        <v>11</v>
      </c>
      <c r="F119" s="1" t="s">
        <v>12</v>
      </c>
      <c r="G119" s="1" t="s">
        <v>23</v>
      </c>
      <c r="H119" s="2">
        <v>44</v>
      </c>
      <c r="I119" s="1">
        <v>938.04</v>
      </c>
    </row>
    <row r="120" spans="1:9" x14ac:dyDescent="0.35">
      <c r="A120" s="2">
        <v>1037</v>
      </c>
      <c r="B120" s="3">
        <v>44949</v>
      </c>
      <c r="C120" s="1" t="s">
        <v>9</v>
      </c>
      <c r="D120" s="1" t="s">
        <v>21</v>
      </c>
      <c r="E120" s="1" t="s">
        <v>11</v>
      </c>
      <c r="F120" s="1" t="s">
        <v>16</v>
      </c>
      <c r="G120" s="1" t="s">
        <v>23</v>
      </c>
      <c r="H120" s="2">
        <v>40</v>
      </c>
      <c r="I120" s="1">
        <v>3192.37</v>
      </c>
    </row>
    <row r="121" spans="1:9" x14ac:dyDescent="0.35">
      <c r="A121" s="2">
        <v>1099</v>
      </c>
      <c r="B121" s="3">
        <v>45030</v>
      </c>
      <c r="C121" s="1" t="s">
        <v>18</v>
      </c>
      <c r="D121" s="1" t="s">
        <v>15</v>
      </c>
      <c r="E121" s="1" t="s">
        <v>11</v>
      </c>
      <c r="F121" s="1" t="s">
        <v>20</v>
      </c>
      <c r="G121" s="1" t="s">
        <v>23</v>
      </c>
      <c r="H121" s="2">
        <v>27</v>
      </c>
      <c r="I121" s="1">
        <v>4990.33</v>
      </c>
    </row>
    <row r="122" spans="1:9" x14ac:dyDescent="0.35">
      <c r="A122" s="2">
        <v>1003</v>
      </c>
      <c r="B122" s="3">
        <v>45124</v>
      </c>
      <c r="C122" s="1" t="s">
        <v>17</v>
      </c>
      <c r="D122" s="1" t="s">
        <v>22</v>
      </c>
      <c r="E122" s="1" t="s">
        <v>11</v>
      </c>
      <c r="F122" s="1" t="s">
        <v>12</v>
      </c>
      <c r="G122" s="1" t="s">
        <v>23</v>
      </c>
      <c r="H122" s="2">
        <v>15</v>
      </c>
      <c r="I122" s="1">
        <v>1870.88</v>
      </c>
    </row>
    <row r="123" spans="1:9" x14ac:dyDescent="0.35">
      <c r="A123" s="2">
        <v>1090</v>
      </c>
      <c r="B123" s="3">
        <v>45105</v>
      </c>
      <c r="C123" s="1" t="s">
        <v>19</v>
      </c>
      <c r="D123" s="1" t="s">
        <v>21</v>
      </c>
      <c r="E123" s="1" t="s">
        <v>11</v>
      </c>
      <c r="F123" s="1" t="s">
        <v>20</v>
      </c>
      <c r="G123" s="1" t="s">
        <v>23</v>
      </c>
      <c r="H123" s="2">
        <v>41</v>
      </c>
      <c r="I123" s="1">
        <v>3946.77</v>
      </c>
    </row>
    <row r="124" spans="1:9" x14ac:dyDescent="0.35">
      <c r="A124" s="2">
        <v>1014</v>
      </c>
      <c r="B124" s="3">
        <v>44968</v>
      </c>
      <c r="C124" s="1" t="s">
        <v>14</v>
      </c>
      <c r="D124" s="1" t="s">
        <v>15</v>
      </c>
      <c r="E124" s="1" t="s">
        <v>11</v>
      </c>
      <c r="F124" s="1" t="s">
        <v>12</v>
      </c>
      <c r="G124" s="1" t="s">
        <v>23</v>
      </c>
      <c r="H124" s="2">
        <v>44</v>
      </c>
      <c r="I124" s="1">
        <v>2747.81</v>
      </c>
    </row>
    <row r="125" spans="1:9" x14ac:dyDescent="0.35">
      <c r="A125" s="2">
        <v>1079</v>
      </c>
      <c r="B125" s="3">
        <v>45083</v>
      </c>
      <c r="C125" s="1" t="s">
        <v>14</v>
      </c>
      <c r="D125" s="1" t="s">
        <v>10</v>
      </c>
      <c r="E125" s="1" t="s">
        <v>11</v>
      </c>
      <c r="F125" s="1" t="s">
        <v>20</v>
      </c>
      <c r="G125" s="1" t="s">
        <v>23</v>
      </c>
      <c r="H125" s="2">
        <v>34</v>
      </c>
      <c r="I125" s="1">
        <v>1993.4</v>
      </c>
    </row>
    <row r="126" spans="1:9" x14ac:dyDescent="0.35">
      <c r="A126" s="2">
        <v>1023</v>
      </c>
      <c r="B126" s="3">
        <v>44931</v>
      </c>
      <c r="C126" s="1" t="s">
        <v>18</v>
      </c>
      <c r="D126" s="1" t="s">
        <v>21</v>
      </c>
      <c r="E126" s="1" t="s">
        <v>11</v>
      </c>
      <c r="F126" s="1" t="s">
        <v>16</v>
      </c>
      <c r="G126" s="1" t="s">
        <v>23</v>
      </c>
      <c r="H126" s="2">
        <v>2</v>
      </c>
      <c r="I126" s="1">
        <v>914.77</v>
      </c>
    </row>
    <row r="127" spans="1:9" x14ac:dyDescent="0.35">
      <c r="A127" s="2">
        <v>1015</v>
      </c>
      <c r="B127" s="3">
        <v>45049</v>
      </c>
      <c r="C127" s="1" t="s">
        <v>14</v>
      </c>
      <c r="D127" s="1" t="s">
        <v>15</v>
      </c>
      <c r="E127" s="1" t="s">
        <v>11</v>
      </c>
      <c r="F127" s="1" t="s">
        <v>16</v>
      </c>
      <c r="G127" s="1" t="s">
        <v>23</v>
      </c>
      <c r="H127" s="2">
        <v>30</v>
      </c>
      <c r="I127" s="1">
        <v>3027.92</v>
      </c>
    </row>
    <row r="128" spans="1:9" x14ac:dyDescent="0.35">
      <c r="A128" s="2">
        <v>1036</v>
      </c>
      <c r="B128" s="3">
        <v>45044</v>
      </c>
      <c r="C128" s="1" t="s">
        <v>19</v>
      </c>
      <c r="D128" s="1" t="s">
        <v>10</v>
      </c>
      <c r="E128" s="1" t="s">
        <v>11</v>
      </c>
      <c r="F128" s="1" t="s">
        <v>16</v>
      </c>
      <c r="G128" s="1" t="s">
        <v>23</v>
      </c>
      <c r="H128" s="2">
        <v>25</v>
      </c>
      <c r="I128" s="1">
        <v>4446.45</v>
      </c>
    </row>
    <row r="129" spans="1:9" x14ac:dyDescent="0.35">
      <c r="A129" s="2">
        <v>1013</v>
      </c>
      <c r="B129" s="3">
        <v>45220</v>
      </c>
      <c r="C129" s="1" t="s">
        <v>14</v>
      </c>
      <c r="D129" s="1" t="s">
        <v>22</v>
      </c>
      <c r="E129" s="1" t="s">
        <v>11</v>
      </c>
      <c r="F129" s="1" t="s">
        <v>16</v>
      </c>
      <c r="G129" s="1" t="s">
        <v>23</v>
      </c>
      <c r="H129" s="2">
        <v>20</v>
      </c>
      <c r="I129" s="1">
        <v>1649.74</v>
      </c>
    </row>
    <row r="130" spans="1:9" x14ac:dyDescent="0.35">
      <c r="A130" s="2">
        <v>1032</v>
      </c>
      <c r="B130" s="3">
        <v>45085</v>
      </c>
      <c r="C130" s="1" t="s">
        <v>17</v>
      </c>
      <c r="D130" s="1" t="s">
        <v>22</v>
      </c>
      <c r="E130" s="1" t="s">
        <v>11</v>
      </c>
      <c r="F130" s="1" t="s">
        <v>20</v>
      </c>
      <c r="G130" s="1" t="s">
        <v>23</v>
      </c>
      <c r="H130" s="2">
        <v>49</v>
      </c>
      <c r="I130" s="1">
        <v>5088</v>
      </c>
    </row>
    <row r="131" spans="1:9" x14ac:dyDescent="0.35">
      <c r="A131" s="2">
        <v>1028</v>
      </c>
      <c r="B131" s="3">
        <v>44973</v>
      </c>
      <c r="C131" s="1" t="s">
        <v>9</v>
      </c>
      <c r="D131" s="1" t="s">
        <v>22</v>
      </c>
      <c r="E131" s="1" t="s">
        <v>11</v>
      </c>
      <c r="F131" s="1" t="s">
        <v>20</v>
      </c>
      <c r="G131" s="1" t="s">
        <v>23</v>
      </c>
      <c r="H131" s="2">
        <v>24</v>
      </c>
      <c r="I131" s="1">
        <v>2241.96</v>
      </c>
    </row>
    <row r="132" spans="1:9" x14ac:dyDescent="0.35">
      <c r="A132" s="2">
        <v>1028</v>
      </c>
      <c r="B132" s="3">
        <v>45250</v>
      </c>
      <c r="C132" s="1" t="s">
        <v>18</v>
      </c>
      <c r="D132" s="1" t="s">
        <v>15</v>
      </c>
      <c r="E132" s="1" t="s">
        <v>11</v>
      </c>
      <c r="F132" s="1" t="s">
        <v>20</v>
      </c>
      <c r="G132" s="1" t="s">
        <v>23</v>
      </c>
      <c r="H132" s="2">
        <v>5</v>
      </c>
      <c r="I132" s="1">
        <v>991.21</v>
      </c>
    </row>
    <row r="133" spans="1:9" x14ac:dyDescent="0.35">
      <c r="A133" s="2">
        <v>1084</v>
      </c>
      <c r="B133" s="3">
        <v>45099</v>
      </c>
      <c r="C133" s="1" t="s">
        <v>17</v>
      </c>
      <c r="D133" s="1" t="s">
        <v>10</v>
      </c>
      <c r="E133" s="1" t="s">
        <v>11</v>
      </c>
      <c r="F133" s="1" t="s">
        <v>20</v>
      </c>
      <c r="G133" s="1" t="s">
        <v>23</v>
      </c>
      <c r="H133" s="2">
        <v>49</v>
      </c>
      <c r="I133" s="1">
        <v>4645.6400000000003</v>
      </c>
    </row>
    <row r="134" spans="1:9" x14ac:dyDescent="0.35">
      <c r="A134" s="2">
        <v>1030</v>
      </c>
      <c r="B134" s="3">
        <v>45056</v>
      </c>
      <c r="C134" s="1" t="s">
        <v>9</v>
      </c>
      <c r="D134" s="1" t="s">
        <v>21</v>
      </c>
      <c r="E134" s="1" t="s">
        <v>11</v>
      </c>
      <c r="F134" s="1" t="s">
        <v>16</v>
      </c>
      <c r="G134" s="1" t="s">
        <v>23</v>
      </c>
      <c r="H134" s="2">
        <v>43</v>
      </c>
      <c r="I134" s="1">
        <v>4713.68</v>
      </c>
    </row>
    <row r="135" spans="1:9" x14ac:dyDescent="0.35">
      <c r="A135" s="2">
        <v>1075</v>
      </c>
      <c r="B135" s="3">
        <v>45041</v>
      </c>
      <c r="C135" s="1" t="s">
        <v>14</v>
      </c>
      <c r="D135" s="1" t="s">
        <v>10</v>
      </c>
      <c r="E135" s="1" t="s">
        <v>11</v>
      </c>
      <c r="F135" s="1" t="s">
        <v>16</v>
      </c>
      <c r="G135" s="1" t="s">
        <v>23</v>
      </c>
      <c r="H135" s="2">
        <v>44</v>
      </c>
      <c r="I135" s="1">
        <v>3822.98</v>
      </c>
    </row>
    <row r="136" spans="1:9" x14ac:dyDescent="0.35">
      <c r="A136" s="2">
        <v>1062</v>
      </c>
      <c r="B136" s="3">
        <v>45208</v>
      </c>
      <c r="C136" s="1" t="s">
        <v>9</v>
      </c>
      <c r="D136" s="1" t="s">
        <v>22</v>
      </c>
      <c r="E136" s="1" t="s">
        <v>11</v>
      </c>
      <c r="F136" s="1" t="s">
        <v>12</v>
      </c>
      <c r="G136" s="1" t="s">
        <v>23</v>
      </c>
      <c r="H136" s="2">
        <v>4</v>
      </c>
      <c r="I136" s="1">
        <v>2034.15</v>
      </c>
    </row>
    <row r="137" spans="1:9" x14ac:dyDescent="0.35">
      <c r="A137" s="2">
        <v>1001</v>
      </c>
      <c r="B137" s="3">
        <v>45209</v>
      </c>
      <c r="C137" s="1" t="s">
        <v>14</v>
      </c>
      <c r="D137" s="1" t="s">
        <v>10</v>
      </c>
      <c r="E137" s="1" t="s">
        <v>11</v>
      </c>
      <c r="F137" s="1" t="s">
        <v>16</v>
      </c>
      <c r="G137" s="1" t="s">
        <v>23</v>
      </c>
      <c r="H137" s="2">
        <v>18</v>
      </c>
      <c r="I137" s="1">
        <v>3013.49</v>
      </c>
    </row>
    <row r="138" spans="1:9" x14ac:dyDescent="0.35">
      <c r="A138" s="2">
        <v>1027</v>
      </c>
      <c r="B138" s="3">
        <v>44995</v>
      </c>
      <c r="C138" s="1" t="s">
        <v>17</v>
      </c>
      <c r="D138" s="1" t="s">
        <v>15</v>
      </c>
      <c r="E138" s="1" t="s">
        <v>11</v>
      </c>
      <c r="F138" s="1" t="s">
        <v>16</v>
      </c>
      <c r="G138" s="1" t="s">
        <v>23</v>
      </c>
      <c r="H138" s="2">
        <v>21</v>
      </c>
      <c r="I138" s="1">
        <v>2848.4</v>
      </c>
    </row>
    <row r="139" spans="1:9" x14ac:dyDescent="0.35">
      <c r="A139" s="2">
        <v>1062</v>
      </c>
      <c r="B139" s="3">
        <v>45074</v>
      </c>
      <c r="C139" s="1" t="s">
        <v>9</v>
      </c>
      <c r="D139" s="1" t="s">
        <v>22</v>
      </c>
      <c r="E139" s="1" t="s">
        <v>11</v>
      </c>
      <c r="F139" s="1" t="s">
        <v>16</v>
      </c>
      <c r="G139" s="1" t="s">
        <v>23</v>
      </c>
      <c r="H139" s="2">
        <v>28</v>
      </c>
      <c r="I139" s="1">
        <v>1004.7</v>
      </c>
    </row>
    <row r="140" spans="1:9" x14ac:dyDescent="0.35">
      <c r="A140" s="2">
        <v>1062</v>
      </c>
      <c r="B140" s="3">
        <v>45126</v>
      </c>
      <c r="C140" s="1" t="s">
        <v>19</v>
      </c>
      <c r="D140" s="1" t="s">
        <v>22</v>
      </c>
      <c r="E140" s="1" t="s">
        <v>11</v>
      </c>
      <c r="F140" s="1" t="s">
        <v>20</v>
      </c>
      <c r="G140" s="1" t="s">
        <v>23</v>
      </c>
      <c r="H140" s="2">
        <v>10</v>
      </c>
      <c r="I140" s="1">
        <v>3054.79</v>
      </c>
    </row>
    <row r="141" spans="1:9" x14ac:dyDescent="0.35">
      <c r="A141" s="2">
        <v>1096</v>
      </c>
      <c r="B141" s="3">
        <v>45136</v>
      </c>
      <c r="C141" s="1" t="s">
        <v>19</v>
      </c>
      <c r="D141" s="1" t="s">
        <v>22</v>
      </c>
      <c r="E141" s="1" t="s">
        <v>11</v>
      </c>
      <c r="F141" s="1" t="s">
        <v>20</v>
      </c>
      <c r="G141" s="1" t="s">
        <v>23</v>
      </c>
      <c r="H141" s="2">
        <v>38</v>
      </c>
      <c r="I141" s="1">
        <v>4270.59</v>
      </c>
    </row>
    <row r="142" spans="1:9" x14ac:dyDescent="0.35">
      <c r="A142" s="2">
        <v>1052</v>
      </c>
      <c r="B142" s="3">
        <v>45282</v>
      </c>
      <c r="C142" s="1" t="s">
        <v>19</v>
      </c>
      <c r="D142" s="1" t="s">
        <v>10</v>
      </c>
      <c r="E142" s="1" t="s">
        <v>11</v>
      </c>
      <c r="F142" s="1" t="s">
        <v>16</v>
      </c>
      <c r="G142" s="1" t="s">
        <v>23</v>
      </c>
      <c r="H142" s="2">
        <v>2</v>
      </c>
      <c r="I142" s="1">
        <v>4017.91</v>
      </c>
    </row>
    <row r="143" spans="1:9" x14ac:dyDescent="0.35">
      <c r="A143" s="2">
        <v>1012</v>
      </c>
      <c r="B143" s="3">
        <v>45250</v>
      </c>
      <c r="C143" s="1" t="s">
        <v>9</v>
      </c>
      <c r="D143" s="1" t="s">
        <v>15</v>
      </c>
      <c r="E143" s="1" t="s">
        <v>11</v>
      </c>
      <c r="F143" s="1" t="s">
        <v>16</v>
      </c>
      <c r="G143" s="1" t="s">
        <v>23</v>
      </c>
      <c r="H143" s="2">
        <v>1</v>
      </c>
      <c r="I143" s="1">
        <v>4528.7700000000004</v>
      </c>
    </row>
    <row r="144" spans="1:9" x14ac:dyDescent="0.35">
      <c r="A144" s="2">
        <v>1056</v>
      </c>
      <c r="B144" s="3">
        <v>45053</v>
      </c>
      <c r="C144" s="1" t="s">
        <v>14</v>
      </c>
      <c r="D144" s="1" t="s">
        <v>21</v>
      </c>
      <c r="E144" s="1" t="s">
        <v>11</v>
      </c>
      <c r="F144" s="1" t="s">
        <v>16</v>
      </c>
      <c r="G144" s="1" t="s">
        <v>23</v>
      </c>
      <c r="H144" s="2">
        <v>28</v>
      </c>
      <c r="I144" s="1">
        <v>1576.34</v>
      </c>
    </row>
    <row r="145" spans="1:9" x14ac:dyDescent="0.35">
      <c r="A145" s="2">
        <v>1001</v>
      </c>
      <c r="B145" s="3">
        <v>45183</v>
      </c>
      <c r="C145" s="1" t="s">
        <v>17</v>
      </c>
      <c r="D145" s="1" t="s">
        <v>15</v>
      </c>
      <c r="E145" s="1" t="s">
        <v>11</v>
      </c>
      <c r="F145" s="1" t="s">
        <v>12</v>
      </c>
      <c r="G145" s="1" t="s">
        <v>23</v>
      </c>
      <c r="H145" s="2">
        <v>39</v>
      </c>
      <c r="I145" s="1">
        <v>2889.67</v>
      </c>
    </row>
    <row r="146" spans="1:9" x14ac:dyDescent="0.35">
      <c r="A146" s="2">
        <v>1002</v>
      </c>
      <c r="B146" s="3">
        <v>45027</v>
      </c>
      <c r="C146" s="1" t="s">
        <v>9</v>
      </c>
      <c r="D146" s="1" t="s">
        <v>15</v>
      </c>
      <c r="E146" s="1" t="s">
        <v>11</v>
      </c>
      <c r="F146" s="1" t="s">
        <v>12</v>
      </c>
      <c r="G146" s="1" t="s">
        <v>23</v>
      </c>
      <c r="H146" s="2">
        <v>21</v>
      </c>
      <c r="I146" s="1">
        <v>971.57</v>
      </c>
    </row>
    <row r="147" spans="1:9" x14ac:dyDescent="0.35">
      <c r="A147" s="2">
        <v>1044</v>
      </c>
      <c r="B147" s="3">
        <v>45036</v>
      </c>
      <c r="C147" s="1" t="s">
        <v>19</v>
      </c>
      <c r="D147" s="1" t="s">
        <v>15</v>
      </c>
      <c r="E147" s="1" t="s">
        <v>11</v>
      </c>
      <c r="F147" s="1" t="s">
        <v>20</v>
      </c>
      <c r="G147" s="1" t="s">
        <v>23</v>
      </c>
      <c r="H147" s="2">
        <v>34</v>
      </c>
      <c r="I147" s="1">
        <v>3740.13</v>
      </c>
    </row>
    <row r="148" spans="1:9" x14ac:dyDescent="0.35">
      <c r="A148" s="2">
        <v>1068</v>
      </c>
      <c r="B148" s="3">
        <v>44981</v>
      </c>
      <c r="C148" s="1" t="s">
        <v>9</v>
      </c>
      <c r="D148" s="1" t="s">
        <v>21</v>
      </c>
      <c r="E148" s="1" t="s">
        <v>11</v>
      </c>
      <c r="F148" s="1" t="s">
        <v>16</v>
      </c>
      <c r="G148" s="1" t="s">
        <v>23</v>
      </c>
      <c r="H148" s="2">
        <v>22</v>
      </c>
      <c r="I148" s="1">
        <v>3651.42</v>
      </c>
    </row>
    <row r="149" spans="1:9" x14ac:dyDescent="0.35">
      <c r="A149" s="2">
        <v>1017</v>
      </c>
      <c r="B149" s="3">
        <v>45128</v>
      </c>
      <c r="C149" s="1" t="s">
        <v>14</v>
      </c>
      <c r="D149" s="1" t="s">
        <v>15</v>
      </c>
      <c r="E149" s="1" t="s">
        <v>11</v>
      </c>
      <c r="F149" s="1" t="s">
        <v>16</v>
      </c>
      <c r="G149" s="1" t="s">
        <v>23</v>
      </c>
      <c r="H149" s="2">
        <v>1</v>
      </c>
      <c r="I149" s="1">
        <v>404.69</v>
      </c>
    </row>
    <row r="150" spans="1:9" x14ac:dyDescent="0.35">
      <c r="A150" s="2">
        <v>1038</v>
      </c>
      <c r="B150" s="3">
        <v>45239</v>
      </c>
      <c r="C150" s="1" t="s">
        <v>14</v>
      </c>
      <c r="D150" s="1" t="s">
        <v>15</v>
      </c>
      <c r="E150" s="1" t="s">
        <v>11</v>
      </c>
      <c r="F150" s="1" t="s">
        <v>20</v>
      </c>
      <c r="G150" s="1" t="s">
        <v>23</v>
      </c>
      <c r="H150" s="2">
        <v>1</v>
      </c>
      <c r="I150" s="1">
        <v>1709.71</v>
      </c>
    </row>
    <row r="151" spans="1:9" x14ac:dyDescent="0.35">
      <c r="A151" s="2">
        <v>1024</v>
      </c>
      <c r="B151" s="3">
        <v>45043</v>
      </c>
      <c r="C151" s="1" t="s">
        <v>18</v>
      </c>
      <c r="D151" s="1" t="s">
        <v>15</v>
      </c>
      <c r="E151" s="1" t="s">
        <v>11</v>
      </c>
      <c r="F151" s="1" t="s">
        <v>12</v>
      </c>
      <c r="G151" s="1" t="s">
        <v>23</v>
      </c>
      <c r="H151" s="2">
        <v>42</v>
      </c>
      <c r="I151" s="1">
        <v>2363.9</v>
      </c>
    </row>
    <row r="152" spans="1:9" x14ac:dyDescent="0.35">
      <c r="A152" s="2">
        <v>1016</v>
      </c>
      <c r="B152" s="3">
        <v>45016</v>
      </c>
      <c r="C152" s="1" t="s">
        <v>17</v>
      </c>
      <c r="D152" s="1" t="s">
        <v>22</v>
      </c>
      <c r="E152" s="1" t="s">
        <v>11</v>
      </c>
      <c r="F152" s="1" t="s">
        <v>12</v>
      </c>
      <c r="G152" s="1" t="s">
        <v>23</v>
      </c>
      <c r="H152" s="2">
        <v>38</v>
      </c>
      <c r="I152" s="1">
        <v>4152.72</v>
      </c>
    </row>
    <row r="153" spans="1:9" x14ac:dyDescent="0.35">
      <c r="A153" s="2">
        <v>1070</v>
      </c>
      <c r="B153" s="3">
        <v>45273</v>
      </c>
      <c r="C153" s="1" t="s">
        <v>18</v>
      </c>
      <c r="D153" s="1" t="s">
        <v>21</v>
      </c>
      <c r="E153" s="1" t="s">
        <v>11</v>
      </c>
      <c r="F153" s="1" t="s">
        <v>16</v>
      </c>
      <c r="G153" s="1" t="s">
        <v>23</v>
      </c>
      <c r="H153" s="2">
        <v>8</v>
      </c>
      <c r="I153" s="1">
        <v>4166.95</v>
      </c>
    </row>
    <row r="154" spans="1:9" x14ac:dyDescent="0.35">
      <c r="A154" s="2">
        <v>1080</v>
      </c>
      <c r="B154" s="3">
        <v>44943</v>
      </c>
      <c r="C154" s="1" t="s">
        <v>9</v>
      </c>
      <c r="D154" s="1" t="s">
        <v>10</v>
      </c>
      <c r="E154" s="1" t="s">
        <v>11</v>
      </c>
      <c r="F154" s="1" t="s">
        <v>16</v>
      </c>
      <c r="G154" s="1" t="s">
        <v>23</v>
      </c>
      <c r="H154" s="2">
        <v>47</v>
      </c>
      <c r="I154" s="1">
        <v>4211.25</v>
      </c>
    </row>
    <row r="155" spans="1:9" x14ac:dyDescent="0.35">
      <c r="A155" s="2">
        <v>1036</v>
      </c>
      <c r="B155" s="3">
        <v>45108</v>
      </c>
      <c r="C155" s="1" t="s">
        <v>18</v>
      </c>
      <c r="D155" s="1" t="s">
        <v>10</v>
      </c>
      <c r="E155" s="1" t="s">
        <v>11</v>
      </c>
      <c r="F155" s="1" t="s">
        <v>20</v>
      </c>
      <c r="G155" s="1" t="s">
        <v>23</v>
      </c>
      <c r="H155" s="2">
        <v>17</v>
      </c>
      <c r="I155" s="1">
        <v>1840.77</v>
      </c>
    </row>
    <row r="156" spans="1:9" x14ac:dyDescent="0.35">
      <c r="A156" s="2">
        <v>1019</v>
      </c>
      <c r="B156" s="3">
        <v>45078</v>
      </c>
      <c r="C156" s="1" t="s">
        <v>9</v>
      </c>
      <c r="D156" s="1" t="s">
        <v>21</v>
      </c>
      <c r="E156" s="1" t="s">
        <v>11</v>
      </c>
      <c r="F156" s="1" t="s">
        <v>16</v>
      </c>
      <c r="G156" s="1" t="s">
        <v>23</v>
      </c>
      <c r="H156" s="2">
        <v>38</v>
      </c>
      <c r="I156" s="1">
        <v>4096.96</v>
      </c>
    </row>
    <row r="157" spans="1:9" x14ac:dyDescent="0.35">
      <c r="A157" s="2">
        <v>1067</v>
      </c>
      <c r="B157" s="3">
        <v>45106</v>
      </c>
      <c r="C157" s="1" t="s">
        <v>17</v>
      </c>
      <c r="D157" s="1" t="s">
        <v>15</v>
      </c>
      <c r="E157" s="1" t="s">
        <v>11</v>
      </c>
      <c r="F157" s="1" t="s">
        <v>16</v>
      </c>
      <c r="G157" s="1" t="s">
        <v>23</v>
      </c>
      <c r="H157" s="2">
        <v>48</v>
      </c>
      <c r="I157" s="1">
        <v>4625.5600000000004</v>
      </c>
    </row>
    <row r="158" spans="1:9" x14ac:dyDescent="0.35">
      <c r="A158" s="2">
        <v>1039</v>
      </c>
      <c r="B158" s="3">
        <v>45080</v>
      </c>
      <c r="C158" s="1" t="s">
        <v>9</v>
      </c>
      <c r="D158" s="1" t="s">
        <v>21</v>
      </c>
      <c r="E158" s="1" t="s">
        <v>11</v>
      </c>
      <c r="F158" s="1" t="s">
        <v>20</v>
      </c>
      <c r="G158" s="1" t="s">
        <v>23</v>
      </c>
      <c r="H158" s="2">
        <v>8</v>
      </c>
      <c r="I158" s="1">
        <v>3609.34</v>
      </c>
    </row>
    <row r="159" spans="1:9" x14ac:dyDescent="0.35">
      <c r="A159" s="2">
        <v>1082</v>
      </c>
      <c r="B159" s="3">
        <v>45082</v>
      </c>
      <c r="C159" s="1" t="s">
        <v>19</v>
      </c>
      <c r="D159" s="1" t="s">
        <v>21</v>
      </c>
      <c r="E159" s="1" t="s">
        <v>11</v>
      </c>
      <c r="F159" s="1" t="s">
        <v>20</v>
      </c>
      <c r="G159" s="1" t="s">
        <v>23</v>
      </c>
      <c r="H159" s="2">
        <v>15</v>
      </c>
      <c r="I159" s="1">
        <v>1832.6</v>
      </c>
    </row>
    <row r="160" spans="1:9" x14ac:dyDescent="0.35">
      <c r="A160" s="2">
        <v>1011</v>
      </c>
      <c r="B160" s="3">
        <v>45263</v>
      </c>
      <c r="C160" s="1" t="s">
        <v>9</v>
      </c>
      <c r="D160" s="1" t="s">
        <v>22</v>
      </c>
      <c r="E160" s="1" t="s">
        <v>11</v>
      </c>
      <c r="F160" s="1" t="s">
        <v>12</v>
      </c>
      <c r="G160" s="1" t="s">
        <v>23</v>
      </c>
      <c r="H160" s="2">
        <v>13</v>
      </c>
      <c r="I160" s="1">
        <v>1882.57</v>
      </c>
    </row>
    <row r="161" spans="1:9" x14ac:dyDescent="0.35">
      <c r="A161" s="2">
        <v>1057</v>
      </c>
      <c r="B161" s="3">
        <v>45287</v>
      </c>
      <c r="C161" s="1" t="s">
        <v>9</v>
      </c>
      <c r="D161" s="1" t="s">
        <v>10</v>
      </c>
      <c r="E161" s="1" t="s">
        <v>11</v>
      </c>
      <c r="F161" s="1" t="s">
        <v>20</v>
      </c>
      <c r="G161" s="1" t="s">
        <v>23</v>
      </c>
      <c r="H161" s="2">
        <v>31</v>
      </c>
      <c r="I161" s="1">
        <v>2453.35</v>
      </c>
    </row>
    <row r="162" spans="1:9" x14ac:dyDescent="0.35">
      <c r="A162" s="2">
        <v>1002</v>
      </c>
      <c r="B162" s="3">
        <v>45067</v>
      </c>
      <c r="C162" s="1" t="s">
        <v>19</v>
      </c>
      <c r="D162" s="1" t="s">
        <v>21</v>
      </c>
      <c r="E162" s="1" t="s">
        <v>11</v>
      </c>
      <c r="F162" s="1" t="s">
        <v>12</v>
      </c>
      <c r="G162" s="1" t="s">
        <v>23</v>
      </c>
      <c r="H162" s="2">
        <v>26</v>
      </c>
      <c r="I162" s="1">
        <v>2291.17</v>
      </c>
    </row>
    <row r="163" spans="1:9" x14ac:dyDescent="0.35">
      <c r="A163" s="2">
        <v>1099</v>
      </c>
      <c r="B163" s="3">
        <v>45212</v>
      </c>
      <c r="C163" s="1" t="s">
        <v>19</v>
      </c>
      <c r="D163" s="1" t="s">
        <v>15</v>
      </c>
      <c r="E163" s="1" t="s">
        <v>11</v>
      </c>
      <c r="F163" s="1" t="s">
        <v>20</v>
      </c>
      <c r="G163" s="1" t="s">
        <v>23</v>
      </c>
      <c r="H163" s="2">
        <v>14</v>
      </c>
      <c r="I163" s="1">
        <v>2341.4699999999998</v>
      </c>
    </row>
    <row r="164" spans="1:9" x14ac:dyDescent="0.35">
      <c r="A164" s="2">
        <v>1072</v>
      </c>
      <c r="B164" s="3">
        <v>45162</v>
      </c>
      <c r="C164" s="1" t="s">
        <v>9</v>
      </c>
      <c r="D164" s="1" t="s">
        <v>21</v>
      </c>
      <c r="E164" s="1" t="s">
        <v>24</v>
      </c>
      <c r="F164" s="1" t="s">
        <v>20</v>
      </c>
      <c r="G164" s="1" t="s">
        <v>13</v>
      </c>
      <c r="H164" s="2">
        <v>39</v>
      </c>
      <c r="I164" s="1">
        <v>4467.75</v>
      </c>
    </row>
    <row r="165" spans="1:9" x14ac:dyDescent="0.35">
      <c r="A165" s="2">
        <v>1088</v>
      </c>
      <c r="B165" s="3">
        <v>45246</v>
      </c>
      <c r="C165" s="1" t="s">
        <v>17</v>
      </c>
      <c r="D165" s="1" t="s">
        <v>10</v>
      </c>
      <c r="E165" s="1" t="s">
        <v>24</v>
      </c>
      <c r="F165" s="1" t="s">
        <v>16</v>
      </c>
      <c r="G165" s="1" t="s">
        <v>13</v>
      </c>
      <c r="H165" s="2">
        <v>13</v>
      </c>
      <c r="I165" s="1">
        <v>2517.6</v>
      </c>
    </row>
    <row r="166" spans="1:9" x14ac:dyDescent="0.35">
      <c r="A166" s="2">
        <v>1022</v>
      </c>
      <c r="B166" s="3">
        <v>45155</v>
      </c>
      <c r="C166" s="1" t="s">
        <v>19</v>
      </c>
      <c r="D166" s="1" t="s">
        <v>15</v>
      </c>
      <c r="E166" s="1" t="s">
        <v>24</v>
      </c>
      <c r="F166" s="1" t="s">
        <v>16</v>
      </c>
      <c r="G166" s="1" t="s">
        <v>13</v>
      </c>
      <c r="H166" s="2">
        <v>21</v>
      </c>
      <c r="I166" s="1">
        <v>2869.6</v>
      </c>
    </row>
    <row r="167" spans="1:9" x14ac:dyDescent="0.35">
      <c r="A167" s="2">
        <v>1053</v>
      </c>
      <c r="B167" s="3">
        <v>45215</v>
      </c>
      <c r="C167" s="1" t="s">
        <v>9</v>
      </c>
      <c r="D167" s="1" t="s">
        <v>10</v>
      </c>
      <c r="E167" s="1" t="s">
        <v>24</v>
      </c>
      <c r="F167" s="1" t="s">
        <v>12</v>
      </c>
      <c r="G167" s="1" t="s">
        <v>13</v>
      </c>
      <c r="H167" s="2">
        <v>48</v>
      </c>
      <c r="I167" s="1">
        <v>487.65</v>
      </c>
    </row>
    <row r="168" spans="1:9" x14ac:dyDescent="0.35">
      <c r="A168" s="2">
        <v>1088</v>
      </c>
      <c r="B168" s="3">
        <v>45203</v>
      </c>
      <c r="C168" s="1" t="s">
        <v>9</v>
      </c>
      <c r="D168" s="1" t="s">
        <v>22</v>
      </c>
      <c r="E168" s="1" t="s">
        <v>24</v>
      </c>
      <c r="F168" s="1" t="s">
        <v>20</v>
      </c>
      <c r="G168" s="1" t="s">
        <v>13</v>
      </c>
      <c r="H168" s="2">
        <v>40</v>
      </c>
      <c r="I168" s="1">
        <v>5034.3500000000004</v>
      </c>
    </row>
    <row r="169" spans="1:9" x14ac:dyDescent="0.35">
      <c r="A169" s="2">
        <v>1060</v>
      </c>
      <c r="B169" s="3">
        <v>45276</v>
      </c>
      <c r="C169" s="1" t="s">
        <v>17</v>
      </c>
      <c r="D169" s="1" t="s">
        <v>21</v>
      </c>
      <c r="E169" s="1" t="s">
        <v>24</v>
      </c>
      <c r="F169" s="1" t="s">
        <v>16</v>
      </c>
      <c r="G169" s="1" t="s">
        <v>13</v>
      </c>
      <c r="H169" s="2">
        <v>44</v>
      </c>
      <c r="I169" s="1">
        <v>4276.99</v>
      </c>
    </row>
    <row r="170" spans="1:9" x14ac:dyDescent="0.35">
      <c r="A170" s="2">
        <v>1076</v>
      </c>
      <c r="B170" s="3">
        <v>45276</v>
      </c>
      <c r="C170" s="1" t="s">
        <v>17</v>
      </c>
      <c r="D170" s="1" t="s">
        <v>21</v>
      </c>
      <c r="E170" s="1" t="s">
        <v>24</v>
      </c>
      <c r="F170" s="1" t="s">
        <v>20</v>
      </c>
      <c r="G170" s="1" t="s">
        <v>13</v>
      </c>
      <c r="H170" s="2">
        <v>30</v>
      </c>
      <c r="I170" s="1">
        <v>3774.65</v>
      </c>
    </row>
    <row r="171" spans="1:9" x14ac:dyDescent="0.35">
      <c r="A171" s="2">
        <v>1089</v>
      </c>
      <c r="B171" s="3">
        <v>45237</v>
      </c>
      <c r="C171" s="1" t="s">
        <v>9</v>
      </c>
      <c r="D171" s="1" t="s">
        <v>10</v>
      </c>
      <c r="E171" s="1" t="s">
        <v>24</v>
      </c>
      <c r="F171" s="1" t="s">
        <v>16</v>
      </c>
      <c r="G171" s="1" t="s">
        <v>13</v>
      </c>
      <c r="H171" s="2">
        <v>47</v>
      </c>
      <c r="I171" s="1">
        <v>4314.5600000000004</v>
      </c>
    </row>
    <row r="172" spans="1:9" x14ac:dyDescent="0.35">
      <c r="A172" s="2">
        <v>1080</v>
      </c>
      <c r="B172" s="3">
        <v>44962</v>
      </c>
      <c r="C172" s="1" t="s">
        <v>19</v>
      </c>
      <c r="D172" s="1" t="s">
        <v>22</v>
      </c>
      <c r="E172" s="1" t="s">
        <v>24</v>
      </c>
      <c r="F172" s="1" t="s">
        <v>20</v>
      </c>
      <c r="G172" s="1" t="s">
        <v>13</v>
      </c>
      <c r="H172" s="2">
        <v>9</v>
      </c>
      <c r="I172" s="1">
        <v>1550.19</v>
      </c>
    </row>
    <row r="173" spans="1:9" x14ac:dyDescent="0.35">
      <c r="A173" s="2">
        <v>1051</v>
      </c>
      <c r="B173" s="3">
        <v>44930</v>
      </c>
      <c r="C173" s="1" t="s">
        <v>17</v>
      </c>
      <c r="D173" s="1" t="s">
        <v>22</v>
      </c>
      <c r="E173" s="1" t="s">
        <v>24</v>
      </c>
      <c r="F173" s="1" t="s">
        <v>16</v>
      </c>
      <c r="G173" s="1" t="s">
        <v>13</v>
      </c>
      <c r="H173" s="2">
        <v>14</v>
      </c>
      <c r="I173" s="1">
        <v>3710.92</v>
      </c>
    </row>
    <row r="174" spans="1:9" x14ac:dyDescent="0.35">
      <c r="A174" s="2">
        <v>1092</v>
      </c>
      <c r="B174" s="3">
        <v>44946</v>
      </c>
      <c r="C174" s="1" t="s">
        <v>19</v>
      </c>
      <c r="D174" s="1" t="s">
        <v>22</v>
      </c>
      <c r="E174" s="1" t="s">
        <v>24</v>
      </c>
      <c r="F174" s="1" t="s">
        <v>16</v>
      </c>
      <c r="G174" s="1" t="s">
        <v>13</v>
      </c>
      <c r="H174" s="2">
        <v>40</v>
      </c>
      <c r="I174" s="1">
        <v>4731.9799999999996</v>
      </c>
    </row>
    <row r="175" spans="1:9" x14ac:dyDescent="0.35">
      <c r="A175" s="2">
        <v>1035</v>
      </c>
      <c r="B175" s="3">
        <v>45068</v>
      </c>
      <c r="C175" s="1" t="s">
        <v>18</v>
      </c>
      <c r="D175" s="1" t="s">
        <v>15</v>
      </c>
      <c r="E175" s="1" t="s">
        <v>24</v>
      </c>
      <c r="F175" s="1" t="s">
        <v>20</v>
      </c>
      <c r="G175" s="1" t="s">
        <v>13</v>
      </c>
      <c r="H175" s="2">
        <v>45</v>
      </c>
      <c r="I175" s="1">
        <v>4624.1000000000004</v>
      </c>
    </row>
    <row r="176" spans="1:9" x14ac:dyDescent="0.35">
      <c r="A176" s="2">
        <v>1002</v>
      </c>
      <c r="B176" s="3">
        <v>45259</v>
      </c>
      <c r="C176" s="1" t="s">
        <v>14</v>
      </c>
      <c r="D176" s="1" t="s">
        <v>10</v>
      </c>
      <c r="E176" s="1" t="s">
        <v>24</v>
      </c>
      <c r="F176" s="1" t="s">
        <v>20</v>
      </c>
      <c r="G176" s="1" t="s">
        <v>13</v>
      </c>
      <c r="H176" s="2">
        <v>24</v>
      </c>
      <c r="I176" s="1">
        <v>3599.27</v>
      </c>
    </row>
    <row r="177" spans="1:9" x14ac:dyDescent="0.35">
      <c r="A177" s="2">
        <v>1006</v>
      </c>
      <c r="B177" s="3">
        <v>45185</v>
      </c>
      <c r="C177" s="1" t="s">
        <v>9</v>
      </c>
      <c r="D177" s="1" t="s">
        <v>15</v>
      </c>
      <c r="E177" s="1" t="s">
        <v>24</v>
      </c>
      <c r="F177" s="1" t="s">
        <v>12</v>
      </c>
      <c r="G177" s="1" t="s">
        <v>13</v>
      </c>
      <c r="H177" s="2">
        <v>49</v>
      </c>
      <c r="I177" s="1">
        <v>3146.6</v>
      </c>
    </row>
    <row r="178" spans="1:9" x14ac:dyDescent="0.35">
      <c r="A178" s="2">
        <v>1018</v>
      </c>
      <c r="B178" s="3">
        <v>45098</v>
      </c>
      <c r="C178" s="1" t="s">
        <v>17</v>
      </c>
      <c r="D178" s="1" t="s">
        <v>21</v>
      </c>
      <c r="E178" s="1" t="s">
        <v>24</v>
      </c>
      <c r="F178" s="1" t="s">
        <v>16</v>
      </c>
      <c r="G178" s="1" t="s">
        <v>13</v>
      </c>
      <c r="H178" s="2">
        <v>28</v>
      </c>
      <c r="I178" s="1">
        <v>1043.45</v>
      </c>
    </row>
    <row r="179" spans="1:9" x14ac:dyDescent="0.35">
      <c r="A179" s="2">
        <v>1095</v>
      </c>
      <c r="B179" s="3">
        <v>45255</v>
      </c>
      <c r="C179" s="1" t="s">
        <v>18</v>
      </c>
      <c r="D179" s="1" t="s">
        <v>22</v>
      </c>
      <c r="E179" s="1" t="s">
        <v>24</v>
      </c>
      <c r="F179" s="1" t="s">
        <v>20</v>
      </c>
      <c r="G179" s="1" t="s">
        <v>13</v>
      </c>
      <c r="H179" s="2">
        <v>37</v>
      </c>
      <c r="I179" s="1">
        <v>860.95</v>
      </c>
    </row>
    <row r="180" spans="1:9" x14ac:dyDescent="0.35">
      <c r="A180" s="2">
        <v>1048</v>
      </c>
      <c r="B180" s="3">
        <v>45199</v>
      </c>
      <c r="C180" s="1" t="s">
        <v>19</v>
      </c>
      <c r="D180" s="1" t="s">
        <v>10</v>
      </c>
      <c r="E180" s="1" t="s">
        <v>24</v>
      </c>
      <c r="F180" s="1" t="s">
        <v>20</v>
      </c>
      <c r="G180" s="1" t="s">
        <v>13</v>
      </c>
      <c r="H180" s="2">
        <v>4</v>
      </c>
      <c r="I180" s="1">
        <v>2910.51</v>
      </c>
    </row>
    <row r="181" spans="1:9" x14ac:dyDescent="0.35">
      <c r="A181" s="2">
        <v>1072</v>
      </c>
      <c r="B181" s="3">
        <v>44964</v>
      </c>
      <c r="C181" s="1" t="s">
        <v>9</v>
      </c>
      <c r="D181" s="1" t="s">
        <v>15</v>
      </c>
      <c r="E181" s="1" t="s">
        <v>24</v>
      </c>
      <c r="F181" s="1" t="s">
        <v>20</v>
      </c>
      <c r="G181" s="1" t="s">
        <v>13</v>
      </c>
      <c r="H181" s="2">
        <v>26</v>
      </c>
      <c r="I181" s="1">
        <v>4002.63</v>
      </c>
    </row>
    <row r="182" spans="1:9" x14ac:dyDescent="0.35">
      <c r="A182" s="2">
        <v>1053</v>
      </c>
      <c r="B182" s="3">
        <v>45063</v>
      </c>
      <c r="C182" s="1" t="s">
        <v>9</v>
      </c>
      <c r="D182" s="1" t="s">
        <v>21</v>
      </c>
      <c r="E182" s="1" t="s">
        <v>24</v>
      </c>
      <c r="F182" s="1" t="s">
        <v>12</v>
      </c>
      <c r="G182" s="1" t="s">
        <v>13</v>
      </c>
      <c r="H182" s="2">
        <v>36</v>
      </c>
      <c r="I182" s="1">
        <v>4720.2700000000004</v>
      </c>
    </row>
    <row r="183" spans="1:9" x14ac:dyDescent="0.35">
      <c r="A183" s="2">
        <v>1026</v>
      </c>
      <c r="B183" s="3">
        <v>44961</v>
      </c>
      <c r="C183" s="1" t="s">
        <v>18</v>
      </c>
      <c r="D183" s="1" t="s">
        <v>22</v>
      </c>
      <c r="E183" s="1" t="s">
        <v>24</v>
      </c>
      <c r="F183" s="1" t="s">
        <v>20</v>
      </c>
      <c r="G183" s="1" t="s">
        <v>13</v>
      </c>
      <c r="H183" s="2">
        <v>19</v>
      </c>
      <c r="I183" s="1">
        <v>1715.83</v>
      </c>
    </row>
    <row r="184" spans="1:9" x14ac:dyDescent="0.35">
      <c r="A184" s="2">
        <v>1060</v>
      </c>
      <c r="B184" s="3">
        <v>45222</v>
      </c>
      <c r="C184" s="1" t="s">
        <v>9</v>
      </c>
      <c r="D184" s="1" t="s">
        <v>21</v>
      </c>
      <c r="E184" s="1" t="s">
        <v>24</v>
      </c>
      <c r="F184" s="1" t="s">
        <v>16</v>
      </c>
      <c r="G184" s="1" t="s">
        <v>13</v>
      </c>
      <c r="H184" s="2">
        <v>46</v>
      </c>
      <c r="I184" s="1">
        <v>1830.27</v>
      </c>
    </row>
    <row r="185" spans="1:9" x14ac:dyDescent="0.35">
      <c r="A185" s="2">
        <v>1029</v>
      </c>
      <c r="B185" s="3">
        <v>44986</v>
      </c>
      <c r="C185" s="1" t="s">
        <v>14</v>
      </c>
      <c r="D185" s="1" t="s">
        <v>21</v>
      </c>
      <c r="E185" s="1" t="s">
        <v>24</v>
      </c>
      <c r="F185" s="1" t="s">
        <v>20</v>
      </c>
      <c r="G185" s="1" t="s">
        <v>13</v>
      </c>
      <c r="H185" s="2">
        <v>28</v>
      </c>
      <c r="I185" s="1">
        <v>3108.3</v>
      </c>
    </row>
    <row r="186" spans="1:9" x14ac:dyDescent="0.35">
      <c r="A186" s="2">
        <v>1015</v>
      </c>
      <c r="B186" s="3">
        <v>45246</v>
      </c>
      <c r="C186" s="1" t="s">
        <v>17</v>
      </c>
      <c r="D186" s="1" t="s">
        <v>10</v>
      </c>
      <c r="E186" s="1" t="s">
        <v>24</v>
      </c>
      <c r="F186" s="1" t="s">
        <v>16</v>
      </c>
      <c r="G186" s="1" t="s">
        <v>13</v>
      </c>
      <c r="H186" s="2">
        <v>1</v>
      </c>
      <c r="I186" s="1">
        <v>3027.74</v>
      </c>
    </row>
    <row r="187" spans="1:9" x14ac:dyDescent="0.35">
      <c r="A187" s="2">
        <v>1065</v>
      </c>
      <c r="B187" s="3">
        <v>45254</v>
      </c>
      <c r="C187" s="1" t="s">
        <v>9</v>
      </c>
      <c r="D187" s="1" t="s">
        <v>15</v>
      </c>
      <c r="E187" s="1" t="s">
        <v>24</v>
      </c>
      <c r="F187" s="1" t="s">
        <v>16</v>
      </c>
      <c r="G187" s="1" t="s">
        <v>13</v>
      </c>
      <c r="H187" s="2">
        <v>18</v>
      </c>
      <c r="I187" s="1">
        <v>1273.98</v>
      </c>
    </row>
    <row r="188" spans="1:9" x14ac:dyDescent="0.35">
      <c r="A188" s="2">
        <v>1089</v>
      </c>
      <c r="B188" s="3">
        <v>45193</v>
      </c>
      <c r="C188" s="1" t="s">
        <v>9</v>
      </c>
      <c r="D188" s="1" t="s">
        <v>15</v>
      </c>
      <c r="E188" s="1" t="s">
        <v>24</v>
      </c>
      <c r="F188" s="1" t="s">
        <v>12</v>
      </c>
      <c r="G188" s="1" t="s">
        <v>13</v>
      </c>
      <c r="H188" s="2">
        <v>48</v>
      </c>
      <c r="I188" s="1">
        <v>2486.14</v>
      </c>
    </row>
    <row r="189" spans="1:9" x14ac:dyDescent="0.35">
      <c r="A189" s="2">
        <v>1071</v>
      </c>
      <c r="B189" s="3">
        <v>45287</v>
      </c>
      <c r="C189" s="1" t="s">
        <v>14</v>
      </c>
      <c r="D189" s="1" t="s">
        <v>15</v>
      </c>
      <c r="E189" s="1" t="s">
        <v>24</v>
      </c>
      <c r="F189" s="1" t="s">
        <v>12</v>
      </c>
      <c r="G189" s="1" t="s">
        <v>13</v>
      </c>
      <c r="H189" s="2">
        <v>40</v>
      </c>
      <c r="I189" s="1">
        <v>1875.75</v>
      </c>
    </row>
    <row r="190" spans="1:9" x14ac:dyDescent="0.35">
      <c r="A190" s="2">
        <v>1001</v>
      </c>
      <c r="B190" s="3">
        <v>45242</v>
      </c>
      <c r="C190" s="1" t="s">
        <v>18</v>
      </c>
      <c r="D190" s="1" t="s">
        <v>22</v>
      </c>
      <c r="E190" s="1" t="s">
        <v>24</v>
      </c>
      <c r="F190" s="1" t="s">
        <v>16</v>
      </c>
      <c r="G190" s="1" t="s">
        <v>13</v>
      </c>
      <c r="H190" s="2">
        <v>8</v>
      </c>
      <c r="I190" s="1">
        <v>3729.27</v>
      </c>
    </row>
    <row r="191" spans="1:9" x14ac:dyDescent="0.35">
      <c r="A191" s="2">
        <v>1088</v>
      </c>
      <c r="B191" s="3">
        <v>45217</v>
      </c>
      <c r="C191" s="1" t="s">
        <v>17</v>
      </c>
      <c r="D191" s="1" t="s">
        <v>10</v>
      </c>
      <c r="E191" s="1" t="s">
        <v>24</v>
      </c>
      <c r="F191" s="1" t="s">
        <v>16</v>
      </c>
      <c r="G191" s="1" t="s">
        <v>13</v>
      </c>
      <c r="H191" s="2">
        <v>16</v>
      </c>
      <c r="I191" s="1">
        <v>3040.73</v>
      </c>
    </row>
    <row r="192" spans="1:9" x14ac:dyDescent="0.35">
      <c r="A192" s="2">
        <v>1033</v>
      </c>
      <c r="B192" s="3">
        <v>45058</v>
      </c>
      <c r="C192" s="1" t="s">
        <v>9</v>
      </c>
      <c r="D192" s="1" t="s">
        <v>10</v>
      </c>
      <c r="E192" s="1" t="s">
        <v>24</v>
      </c>
      <c r="F192" s="1" t="s">
        <v>16</v>
      </c>
      <c r="G192" s="1" t="s">
        <v>13</v>
      </c>
      <c r="H192" s="2">
        <v>16</v>
      </c>
      <c r="I192" s="1">
        <v>3397.36</v>
      </c>
    </row>
    <row r="193" spans="1:9" x14ac:dyDescent="0.35">
      <c r="A193" s="2">
        <v>1005</v>
      </c>
      <c r="B193" s="3">
        <v>45015</v>
      </c>
      <c r="C193" s="1" t="s">
        <v>18</v>
      </c>
      <c r="D193" s="1" t="s">
        <v>22</v>
      </c>
      <c r="E193" s="1" t="s">
        <v>24</v>
      </c>
      <c r="F193" s="1" t="s">
        <v>20</v>
      </c>
      <c r="G193" s="1" t="s">
        <v>13</v>
      </c>
      <c r="H193" s="2">
        <v>12</v>
      </c>
      <c r="I193" s="1">
        <v>802.43</v>
      </c>
    </row>
    <row r="194" spans="1:9" x14ac:dyDescent="0.35">
      <c r="A194" s="2">
        <v>1007</v>
      </c>
      <c r="B194" s="3">
        <v>45015</v>
      </c>
      <c r="C194" s="1" t="s">
        <v>14</v>
      </c>
      <c r="D194" s="1" t="s">
        <v>10</v>
      </c>
      <c r="E194" s="1" t="s">
        <v>24</v>
      </c>
      <c r="F194" s="1" t="s">
        <v>12</v>
      </c>
      <c r="G194" s="1" t="s">
        <v>13</v>
      </c>
      <c r="H194" s="2">
        <v>14</v>
      </c>
      <c r="I194" s="1">
        <v>1608.76</v>
      </c>
    </row>
    <row r="195" spans="1:9" x14ac:dyDescent="0.35">
      <c r="A195" s="2">
        <v>1072</v>
      </c>
      <c r="B195" s="3">
        <v>45254</v>
      </c>
      <c r="C195" s="1" t="s">
        <v>18</v>
      </c>
      <c r="D195" s="1" t="s">
        <v>21</v>
      </c>
      <c r="E195" s="1" t="s">
        <v>24</v>
      </c>
      <c r="F195" s="1" t="s">
        <v>20</v>
      </c>
      <c r="G195" s="1" t="s">
        <v>13</v>
      </c>
      <c r="H195" s="2">
        <v>25</v>
      </c>
      <c r="I195" s="1">
        <v>693.4</v>
      </c>
    </row>
    <row r="196" spans="1:9" x14ac:dyDescent="0.35">
      <c r="A196" s="2">
        <v>1012</v>
      </c>
      <c r="B196" s="3">
        <v>45221</v>
      </c>
      <c r="C196" s="1" t="s">
        <v>14</v>
      </c>
      <c r="D196" s="1" t="s">
        <v>10</v>
      </c>
      <c r="E196" s="1" t="s">
        <v>24</v>
      </c>
      <c r="F196" s="1" t="s">
        <v>16</v>
      </c>
      <c r="G196" s="1" t="s">
        <v>13</v>
      </c>
      <c r="H196" s="2">
        <v>34</v>
      </c>
      <c r="I196" s="1">
        <v>2521.77</v>
      </c>
    </row>
    <row r="197" spans="1:9" x14ac:dyDescent="0.35">
      <c r="A197" s="2">
        <v>1088</v>
      </c>
      <c r="B197" s="3">
        <v>45279</v>
      </c>
      <c r="C197" s="1" t="s">
        <v>18</v>
      </c>
      <c r="D197" s="1" t="s">
        <v>21</v>
      </c>
      <c r="E197" s="1" t="s">
        <v>24</v>
      </c>
      <c r="F197" s="1" t="s">
        <v>16</v>
      </c>
      <c r="G197" s="1" t="s">
        <v>13</v>
      </c>
      <c r="H197" s="2">
        <v>20</v>
      </c>
      <c r="I197" s="1">
        <v>5088.28</v>
      </c>
    </row>
    <row r="198" spans="1:9" x14ac:dyDescent="0.35">
      <c r="A198" s="2">
        <v>1091</v>
      </c>
      <c r="B198" s="3">
        <v>45071</v>
      </c>
      <c r="C198" s="1" t="s">
        <v>18</v>
      </c>
      <c r="D198" s="1" t="s">
        <v>21</v>
      </c>
      <c r="E198" s="1" t="s">
        <v>24</v>
      </c>
      <c r="F198" s="1" t="s">
        <v>16</v>
      </c>
      <c r="G198" s="1" t="s">
        <v>13</v>
      </c>
      <c r="H198" s="2">
        <v>24</v>
      </c>
      <c r="I198" s="1">
        <v>3750.63</v>
      </c>
    </row>
    <row r="199" spans="1:9" x14ac:dyDescent="0.35">
      <c r="A199" s="2">
        <v>1035</v>
      </c>
      <c r="B199" s="3">
        <v>45151</v>
      </c>
      <c r="C199" s="1" t="s">
        <v>18</v>
      </c>
      <c r="D199" s="1" t="s">
        <v>21</v>
      </c>
      <c r="E199" s="1" t="s">
        <v>24</v>
      </c>
      <c r="F199" s="1" t="s">
        <v>20</v>
      </c>
      <c r="G199" s="1" t="s">
        <v>13</v>
      </c>
      <c r="H199" s="2">
        <v>5</v>
      </c>
      <c r="I199" s="1">
        <v>4454.97</v>
      </c>
    </row>
    <row r="200" spans="1:9" x14ac:dyDescent="0.35">
      <c r="A200" s="2">
        <v>1065</v>
      </c>
      <c r="B200" s="3">
        <v>45235</v>
      </c>
      <c r="C200" s="1" t="s">
        <v>18</v>
      </c>
      <c r="D200" s="1" t="s">
        <v>10</v>
      </c>
      <c r="E200" s="1" t="s">
        <v>24</v>
      </c>
      <c r="F200" s="1" t="s">
        <v>16</v>
      </c>
      <c r="G200" s="1" t="s">
        <v>13</v>
      </c>
      <c r="H200" s="2">
        <v>3</v>
      </c>
      <c r="I200" s="1">
        <v>4362.4399999999996</v>
      </c>
    </row>
    <row r="201" spans="1:9" x14ac:dyDescent="0.35">
      <c r="A201" s="2">
        <v>1077</v>
      </c>
      <c r="B201" s="3">
        <v>44964</v>
      </c>
      <c r="C201" s="1" t="s">
        <v>17</v>
      </c>
      <c r="D201" s="1" t="s">
        <v>21</v>
      </c>
      <c r="E201" s="1" t="s">
        <v>24</v>
      </c>
      <c r="F201" s="1" t="s">
        <v>20</v>
      </c>
      <c r="G201" s="1" t="s">
        <v>13</v>
      </c>
      <c r="H201" s="2">
        <v>12</v>
      </c>
      <c r="I201" s="1">
        <v>2743.09</v>
      </c>
    </row>
    <row r="202" spans="1:9" x14ac:dyDescent="0.35">
      <c r="A202" s="2">
        <v>1063</v>
      </c>
      <c r="B202" s="3">
        <v>45215</v>
      </c>
      <c r="C202" s="1" t="s">
        <v>19</v>
      </c>
      <c r="D202" s="1" t="s">
        <v>21</v>
      </c>
      <c r="E202" s="1" t="s">
        <v>24</v>
      </c>
      <c r="F202" s="1" t="s">
        <v>16</v>
      </c>
      <c r="G202" s="1" t="s">
        <v>13</v>
      </c>
      <c r="H202" s="2">
        <v>4</v>
      </c>
      <c r="I202" s="1">
        <v>1201.3900000000001</v>
      </c>
    </row>
    <row r="203" spans="1:9" x14ac:dyDescent="0.35">
      <c r="A203" s="2">
        <v>1096</v>
      </c>
      <c r="B203" s="3">
        <v>45180</v>
      </c>
      <c r="C203" s="1" t="s">
        <v>17</v>
      </c>
      <c r="D203" s="1" t="s">
        <v>22</v>
      </c>
      <c r="E203" s="1" t="s">
        <v>24</v>
      </c>
      <c r="F203" s="1" t="s">
        <v>12</v>
      </c>
      <c r="G203" s="1" t="s">
        <v>13</v>
      </c>
      <c r="H203" s="2">
        <v>23</v>
      </c>
      <c r="I203" s="1">
        <v>1032.22</v>
      </c>
    </row>
    <row r="204" spans="1:9" x14ac:dyDescent="0.35">
      <c r="A204" s="2">
        <v>1029</v>
      </c>
      <c r="B204" s="3">
        <v>45279</v>
      </c>
      <c r="C204" s="1" t="s">
        <v>17</v>
      </c>
      <c r="D204" s="1" t="s">
        <v>15</v>
      </c>
      <c r="E204" s="1" t="s">
        <v>24</v>
      </c>
      <c r="F204" s="1" t="s">
        <v>12</v>
      </c>
      <c r="G204" s="1" t="s">
        <v>13</v>
      </c>
      <c r="H204" s="2">
        <v>21</v>
      </c>
      <c r="I204" s="1">
        <v>3200.75</v>
      </c>
    </row>
    <row r="205" spans="1:9" x14ac:dyDescent="0.35">
      <c r="A205" s="2">
        <v>1042</v>
      </c>
      <c r="B205" s="3">
        <v>44941</v>
      </c>
      <c r="C205" s="1" t="s">
        <v>14</v>
      </c>
      <c r="D205" s="1" t="s">
        <v>10</v>
      </c>
      <c r="E205" s="1" t="s">
        <v>24</v>
      </c>
      <c r="F205" s="1" t="s">
        <v>12</v>
      </c>
      <c r="G205" s="1" t="s">
        <v>13</v>
      </c>
      <c r="H205" s="2">
        <v>46</v>
      </c>
      <c r="I205" s="1">
        <v>2367.11</v>
      </c>
    </row>
    <row r="206" spans="1:9" x14ac:dyDescent="0.35">
      <c r="A206" s="2">
        <v>1062</v>
      </c>
      <c r="B206" s="3">
        <v>45062</v>
      </c>
      <c r="C206" s="1" t="s">
        <v>19</v>
      </c>
      <c r="D206" s="1" t="s">
        <v>10</v>
      </c>
      <c r="E206" s="1" t="s">
        <v>24</v>
      </c>
      <c r="F206" s="1" t="s">
        <v>12</v>
      </c>
      <c r="G206" s="1" t="s">
        <v>13</v>
      </c>
      <c r="H206" s="2">
        <v>46</v>
      </c>
      <c r="I206" s="1">
        <v>303.36</v>
      </c>
    </row>
    <row r="207" spans="1:9" x14ac:dyDescent="0.35">
      <c r="A207" s="2">
        <v>1057</v>
      </c>
      <c r="B207" s="3">
        <v>45187</v>
      </c>
      <c r="C207" s="1" t="s">
        <v>19</v>
      </c>
      <c r="D207" s="1" t="s">
        <v>15</v>
      </c>
      <c r="E207" s="1" t="s">
        <v>24</v>
      </c>
      <c r="F207" s="1" t="s">
        <v>16</v>
      </c>
      <c r="G207" s="1" t="s">
        <v>13</v>
      </c>
      <c r="H207" s="2">
        <v>25</v>
      </c>
      <c r="I207" s="1">
        <v>2027.74</v>
      </c>
    </row>
    <row r="208" spans="1:9" x14ac:dyDescent="0.35">
      <c r="A208" s="2">
        <v>1006</v>
      </c>
      <c r="B208" s="3">
        <v>45083</v>
      </c>
      <c r="C208" s="1" t="s">
        <v>9</v>
      </c>
      <c r="D208" s="1" t="s">
        <v>22</v>
      </c>
      <c r="E208" s="1" t="s">
        <v>24</v>
      </c>
      <c r="F208" s="1" t="s">
        <v>16</v>
      </c>
      <c r="G208" s="1" t="s">
        <v>13</v>
      </c>
      <c r="H208" s="2">
        <v>21</v>
      </c>
      <c r="I208" s="1">
        <v>2193.2199999999998</v>
      </c>
    </row>
    <row r="209" spans="1:9" x14ac:dyDescent="0.35">
      <c r="A209" s="2">
        <v>1092</v>
      </c>
      <c r="B209" s="3">
        <v>45169</v>
      </c>
      <c r="C209" s="1" t="s">
        <v>17</v>
      </c>
      <c r="D209" s="1" t="s">
        <v>15</v>
      </c>
      <c r="E209" s="1" t="s">
        <v>24</v>
      </c>
      <c r="F209" s="1" t="s">
        <v>20</v>
      </c>
      <c r="G209" s="1" t="s">
        <v>13</v>
      </c>
      <c r="H209" s="2">
        <v>47</v>
      </c>
      <c r="I209" s="1">
        <v>4462.3999999999996</v>
      </c>
    </row>
    <row r="210" spans="1:9" x14ac:dyDescent="0.35">
      <c r="A210" s="2">
        <v>1097</v>
      </c>
      <c r="B210" s="3">
        <v>45229</v>
      </c>
      <c r="C210" s="1" t="s">
        <v>17</v>
      </c>
      <c r="D210" s="1" t="s">
        <v>22</v>
      </c>
      <c r="E210" s="1" t="s">
        <v>24</v>
      </c>
      <c r="F210" s="1" t="s">
        <v>12</v>
      </c>
      <c r="G210" s="1" t="s">
        <v>13</v>
      </c>
      <c r="H210" s="2">
        <v>49</v>
      </c>
      <c r="I210" s="1">
        <v>4315.5200000000004</v>
      </c>
    </row>
    <row r="211" spans="1:9" x14ac:dyDescent="0.35">
      <c r="A211" s="2">
        <v>1079</v>
      </c>
      <c r="B211" s="3">
        <v>45144</v>
      </c>
      <c r="C211" s="1" t="s">
        <v>14</v>
      </c>
      <c r="D211" s="1" t="s">
        <v>21</v>
      </c>
      <c r="E211" s="1" t="s">
        <v>24</v>
      </c>
      <c r="F211" s="1" t="s">
        <v>12</v>
      </c>
      <c r="G211" s="1" t="s">
        <v>13</v>
      </c>
      <c r="H211" s="2">
        <v>45</v>
      </c>
      <c r="I211" s="1">
        <v>1547.35</v>
      </c>
    </row>
    <row r="212" spans="1:9" x14ac:dyDescent="0.35">
      <c r="A212" s="2">
        <v>1032</v>
      </c>
      <c r="B212" s="3">
        <v>45030</v>
      </c>
      <c r="C212" s="1" t="s">
        <v>14</v>
      </c>
      <c r="D212" s="1" t="s">
        <v>21</v>
      </c>
      <c r="E212" s="1" t="s">
        <v>24</v>
      </c>
      <c r="F212" s="1" t="s">
        <v>12</v>
      </c>
      <c r="G212" s="1" t="s">
        <v>13</v>
      </c>
      <c r="H212" s="2">
        <v>45</v>
      </c>
      <c r="I212" s="1">
        <v>3780.88</v>
      </c>
    </row>
    <row r="213" spans="1:9" x14ac:dyDescent="0.35">
      <c r="A213" s="2">
        <v>1088</v>
      </c>
      <c r="B213" s="3">
        <v>45037</v>
      </c>
      <c r="C213" s="1" t="s">
        <v>19</v>
      </c>
      <c r="D213" s="1" t="s">
        <v>10</v>
      </c>
      <c r="E213" s="1" t="s">
        <v>24</v>
      </c>
      <c r="F213" s="1" t="s">
        <v>12</v>
      </c>
      <c r="G213" s="1" t="s">
        <v>13</v>
      </c>
      <c r="H213" s="2">
        <v>29</v>
      </c>
      <c r="I213" s="1">
        <v>1107.45</v>
      </c>
    </row>
    <row r="214" spans="1:9" x14ac:dyDescent="0.35">
      <c r="A214" s="2">
        <v>1062</v>
      </c>
      <c r="B214" s="3">
        <v>45242</v>
      </c>
      <c r="C214" s="1" t="s">
        <v>17</v>
      </c>
      <c r="D214" s="1" t="s">
        <v>22</v>
      </c>
      <c r="E214" s="1" t="s">
        <v>24</v>
      </c>
      <c r="F214" s="1" t="s">
        <v>16</v>
      </c>
      <c r="G214" s="1" t="s">
        <v>13</v>
      </c>
      <c r="H214" s="2">
        <v>9</v>
      </c>
      <c r="I214" s="1">
        <v>1838.21</v>
      </c>
    </row>
    <row r="215" spans="1:9" x14ac:dyDescent="0.35">
      <c r="A215" s="2">
        <v>1058</v>
      </c>
      <c r="B215" s="3">
        <v>45097</v>
      </c>
      <c r="C215" s="1" t="s">
        <v>17</v>
      </c>
      <c r="D215" s="1" t="s">
        <v>21</v>
      </c>
      <c r="E215" s="1" t="s">
        <v>24</v>
      </c>
      <c r="F215" s="1" t="s">
        <v>20</v>
      </c>
      <c r="G215" s="1" t="s">
        <v>13</v>
      </c>
      <c r="H215" s="2">
        <v>48</v>
      </c>
      <c r="I215" s="1">
        <v>3049.04</v>
      </c>
    </row>
    <row r="216" spans="1:9" x14ac:dyDescent="0.35">
      <c r="A216" s="2">
        <v>1003</v>
      </c>
      <c r="B216" s="3">
        <v>45254</v>
      </c>
      <c r="C216" s="1" t="s">
        <v>17</v>
      </c>
      <c r="D216" s="1" t="s">
        <v>15</v>
      </c>
      <c r="E216" s="1" t="s">
        <v>24</v>
      </c>
      <c r="F216" s="1" t="s">
        <v>20</v>
      </c>
      <c r="G216" s="1" t="s">
        <v>13</v>
      </c>
      <c r="H216" s="2">
        <v>11</v>
      </c>
      <c r="I216" s="1">
        <v>3862.26</v>
      </c>
    </row>
    <row r="217" spans="1:9" x14ac:dyDescent="0.35">
      <c r="A217" s="2">
        <v>1002</v>
      </c>
      <c r="B217" s="3">
        <v>44977</v>
      </c>
      <c r="C217" s="1" t="s">
        <v>19</v>
      </c>
      <c r="D217" s="1" t="s">
        <v>15</v>
      </c>
      <c r="E217" s="1" t="s">
        <v>24</v>
      </c>
      <c r="F217" s="1" t="s">
        <v>20</v>
      </c>
      <c r="G217" s="1" t="s">
        <v>13</v>
      </c>
      <c r="H217" s="2">
        <v>26</v>
      </c>
      <c r="I217" s="1">
        <v>557.69000000000005</v>
      </c>
    </row>
    <row r="218" spans="1:9" x14ac:dyDescent="0.35">
      <c r="A218" s="2">
        <v>1092</v>
      </c>
      <c r="B218" s="3">
        <v>44955</v>
      </c>
      <c r="C218" s="1" t="s">
        <v>9</v>
      </c>
      <c r="D218" s="1" t="s">
        <v>21</v>
      </c>
      <c r="E218" s="1" t="s">
        <v>24</v>
      </c>
      <c r="F218" s="1" t="s">
        <v>20</v>
      </c>
      <c r="G218" s="1" t="s">
        <v>13</v>
      </c>
      <c r="H218" s="2">
        <v>13</v>
      </c>
      <c r="I218" s="1">
        <v>2913.78</v>
      </c>
    </row>
    <row r="219" spans="1:9" x14ac:dyDescent="0.35">
      <c r="A219" s="2">
        <v>1087</v>
      </c>
      <c r="B219" s="3">
        <v>45223</v>
      </c>
      <c r="C219" s="1" t="s">
        <v>9</v>
      </c>
      <c r="D219" s="1" t="s">
        <v>21</v>
      </c>
      <c r="E219" s="1" t="s">
        <v>24</v>
      </c>
      <c r="F219" s="1" t="s">
        <v>20</v>
      </c>
      <c r="G219" s="1" t="s">
        <v>13</v>
      </c>
      <c r="H219" s="2">
        <v>28</v>
      </c>
      <c r="I219" s="1">
        <v>569.63</v>
      </c>
    </row>
    <row r="220" spans="1:9" x14ac:dyDescent="0.35">
      <c r="A220" s="2">
        <v>1090</v>
      </c>
      <c r="B220" s="3">
        <v>45108</v>
      </c>
      <c r="C220" s="1" t="s">
        <v>14</v>
      </c>
      <c r="D220" s="1" t="s">
        <v>10</v>
      </c>
      <c r="E220" s="1" t="s">
        <v>24</v>
      </c>
      <c r="F220" s="1" t="s">
        <v>12</v>
      </c>
      <c r="G220" s="1" t="s">
        <v>13</v>
      </c>
      <c r="H220" s="2">
        <v>31</v>
      </c>
      <c r="I220" s="1">
        <v>4880.8</v>
      </c>
    </row>
    <row r="221" spans="1:9" x14ac:dyDescent="0.35">
      <c r="A221" s="2">
        <v>1069</v>
      </c>
      <c r="B221" s="3">
        <v>45080</v>
      </c>
      <c r="C221" s="1" t="s">
        <v>14</v>
      </c>
      <c r="D221" s="1" t="s">
        <v>21</v>
      </c>
      <c r="E221" s="1" t="s">
        <v>24</v>
      </c>
      <c r="F221" s="1" t="s">
        <v>20</v>
      </c>
      <c r="G221" s="1" t="s">
        <v>13</v>
      </c>
      <c r="H221" s="2">
        <v>42</v>
      </c>
      <c r="I221" s="1">
        <v>1482.88</v>
      </c>
    </row>
    <row r="222" spans="1:9" x14ac:dyDescent="0.35">
      <c r="A222" s="2">
        <v>1070</v>
      </c>
      <c r="B222" s="3">
        <v>44989</v>
      </c>
      <c r="C222" s="1" t="s">
        <v>9</v>
      </c>
      <c r="D222" s="1" t="s">
        <v>22</v>
      </c>
      <c r="E222" s="1" t="s">
        <v>24</v>
      </c>
      <c r="F222" s="1" t="s">
        <v>20</v>
      </c>
      <c r="G222" s="1" t="s">
        <v>13</v>
      </c>
      <c r="H222" s="2">
        <v>15</v>
      </c>
      <c r="I222" s="1">
        <v>3896.19</v>
      </c>
    </row>
    <row r="223" spans="1:9" x14ac:dyDescent="0.35">
      <c r="A223" s="2">
        <v>1020</v>
      </c>
      <c r="B223" s="3">
        <v>45177</v>
      </c>
      <c r="C223" s="1" t="s">
        <v>17</v>
      </c>
      <c r="D223" s="1" t="s">
        <v>21</v>
      </c>
      <c r="E223" s="1" t="s">
        <v>24</v>
      </c>
      <c r="F223" s="1" t="s">
        <v>20</v>
      </c>
      <c r="G223" s="1" t="s">
        <v>13</v>
      </c>
      <c r="H223" s="2">
        <v>26</v>
      </c>
      <c r="I223" s="1">
        <v>4770.42</v>
      </c>
    </row>
    <row r="224" spans="1:9" x14ac:dyDescent="0.35">
      <c r="A224" s="2">
        <v>1059</v>
      </c>
      <c r="B224" s="3">
        <v>45105</v>
      </c>
      <c r="C224" s="1" t="s">
        <v>9</v>
      </c>
      <c r="D224" s="1" t="s">
        <v>22</v>
      </c>
      <c r="E224" s="1" t="s">
        <v>24</v>
      </c>
      <c r="F224" s="1" t="s">
        <v>20</v>
      </c>
      <c r="G224" s="1" t="s">
        <v>13</v>
      </c>
      <c r="H224" s="2">
        <v>13</v>
      </c>
      <c r="I224" s="1">
        <v>2437.6999999999998</v>
      </c>
    </row>
    <row r="225" spans="1:9" x14ac:dyDescent="0.35">
      <c r="A225" s="2">
        <v>1090</v>
      </c>
      <c r="B225" s="3">
        <v>44951</v>
      </c>
      <c r="C225" s="1" t="s">
        <v>19</v>
      </c>
      <c r="D225" s="1" t="s">
        <v>21</v>
      </c>
      <c r="E225" s="1" t="s">
        <v>24</v>
      </c>
      <c r="F225" s="1" t="s">
        <v>20</v>
      </c>
      <c r="G225" s="1" t="s">
        <v>13</v>
      </c>
      <c r="H225" s="2">
        <v>17</v>
      </c>
      <c r="I225" s="1">
        <v>4645.3500000000004</v>
      </c>
    </row>
    <row r="226" spans="1:9" x14ac:dyDescent="0.35">
      <c r="A226" s="2">
        <v>1019</v>
      </c>
      <c r="B226" s="3">
        <v>45124</v>
      </c>
      <c r="C226" s="1" t="s">
        <v>14</v>
      </c>
      <c r="D226" s="1" t="s">
        <v>21</v>
      </c>
      <c r="E226" s="1" t="s">
        <v>24</v>
      </c>
      <c r="F226" s="1" t="s">
        <v>20</v>
      </c>
      <c r="G226" s="1" t="s">
        <v>13</v>
      </c>
      <c r="H226" s="2">
        <v>14</v>
      </c>
      <c r="I226" s="1">
        <v>1882.79</v>
      </c>
    </row>
    <row r="227" spans="1:9" x14ac:dyDescent="0.35">
      <c r="A227" s="2">
        <v>1096</v>
      </c>
      <c r="B227" s="3">
        <v>45087</v>
      </c>
      <c r="C227" s="1" t="s">
        <v>19</v>
      </c>
      <c r="D227" s="1" t="s">
        <v>10</v>
      </c>
      <c r="E227" s="1" t="s">
        <v>24</v>
      </c>
      <c r="F227" s="1" t="s">
        <v>20</v>
      </c>
      <c r="G227" s="1" t="s">
        <v>13</v>
      </c>
      <c r="H227" s="2">
        <v>6</v>
      </c>
      <c r="I227" s="1">
        <v>742</v>
      </c>
    </row>
    <row r="228" spans="1:9" x14ac:dyDescent="0.35">
      <c r="A228" s="2">
        <v>1092</v>
      </c>
      <c r="B228" s="3">
        <v>45010</v>
      </c>
      <c r="C228" s="1" t="s">
        <v>18</v>
      </c>
      <c r="D228" s="1" t="s">
        <v>10</v>
      </c>
      <c r="E228" s="1" t="s">
        <v>24</v>
      </c>
      <c r="F228" s="1" t="s">
        <v>16</v>
      </c>
      <c r="G228" s="1" t="s">
        <v>13</v>
      </c>
      <c r="H228" s="2">
        <v>49</v>
      </c>
      <c r="I228" s="1">
        <v>2467.2800000000002</v>
      </c>
    </row>
    <row r="229" spans="1:9" x14ac:dyDescent="0.35">
      <c r="A229" s="2">
        <v>1050</v>
      </c>
      <c r="B229" s="3">
        <v>45074</v>
      </c>
      <c r="C229" s="1" t="s">
        <v>18</v>
      </c>
      <c r="D229" s="1" t="s">
        <v>10</v>
      </c>
      <c r="E229" s="1" t="s">
        <v>24</v>
      </c>
      <c r="F229" s="1" t="s">
        <v>20</v>
      </c>
      <c r="G229" s="1" t="s">
        <v>13</v>
      </c>
      <c r="H229" s="2">
        <v>6</v>
      </c>
      <c r="I229" s="1">
        <v>4102.72</v>
      </c>
    </row>
    <row r="230" spans="1:9" x14ac:dyDescent="0.35">
      <c r="A230" s="2">
        <v>1069</v>
      </c>
      <c r="B230" s="3">
        <v>44958</v>
      </c>
      <c r="C230" s="1" t="s">
        <v>17</v>
      </c>
      <c r="D230" s="1" t="s">
        <v>10</v>
      </c>
      <c r="E230" s="1" t="s">
        <v>24</v>
      </c>
      <c r="F230" s="1" t="s">
        <v>16</v>
      </c>
      <c r="G230" s="1" t="s">
        <v>13</v>
      </c>
      <c r="H230" s="2">
        <v>18</v>
      </c>
      <c r="I230" s="1">
        <v>3219.58</v>
      </c>
    </row>
    <row r="231" spans="1:9" x14ac:dyDescent="0.35">
      <c r="A231" s="2">
        <v>1037</v>
      </c>
      <c r="B231" s="3">
        <v>45084</v>
      </c>
      <c r="C231" s="1" t="s">
        <v>18</v>
      </c>
      <c r="D231" s="1" t="s">
        <v>15</v>
      </c>
      <c r="E231" s="1" t="s">
        <v>24</v>
      </c>
      <c r="F231" s="1" t="s">
        <v>12</v>
      </c>
      <c r="G231" s="1" t="s">
        <v>13</v>
      </c>
      <c r="H231" s="2">
        <v>4</v>
      </c>
      <c r="I231" s="1">
        <v>5017.58</v>
      </c>
    </row>
    <row r="232" spans="1:9" x14ac:dyDescent="0.35">
      <c r="A232" s="2">
        <v>1061</v>
      </c>
      <c r="B232" s="3">
        <v>45009</v>
      </c>
      <c r="C232" s="1" t="s">
        <v>19</v>
      </c>
      <c r="D232" s="1" t="s">
        <v>22</v>
      </c>
      <c r="E232" s="1" t="s">
        <v>24</v>
      </c>
      <c r="F232" s="1" t="s">
        <v>20</v>
      </c>
      <c r="G232" s="1" t="s">
        <v>23</v>
      </c>
      <c r="H232" s="2">
        <v>13</v>
      </c>
      <c r="I232" s="1">
        <v>692.71</v>
      </c>
    </row>
    <row r="233" spans="1:9" x14ac:dyDescent="0.35">
      <c r="A233" s="2">
        <v>1021</v>
      </c>
      <c r="B233" s="3">
        <v>44968</v>
      </c>
      <c r="C233" s="1" t="s">
        <v>19</v>
      </c>
      <c r="D233" s="1" t="s">
        <v>15</v>
      </c>
      <c r="E233" s="1" t="s">
        <v>24</v>
      </c>
      <c r="F233" s="1" t="s">
        <v>12</v>
      </c>
      <c r="G233" s="1" t="s">
        <v>23</v>
      </c>
      <c r="H233" s="2">
        <v>32</v>
      </c>
      <c r="I233" s="1">
        <v>1106.51</v>
      </c>
    </row>
    <row r="234" spans="1:9" x14ac:dyDescent="0.35">
      <c r="A234" s="2">
        <v>1087</v>
      </c>
      <c r="B234" s="3">
        <v>44932</v>
      </c>
      <c r="C234" s="1" t="s">
        <v>17</v>
      </c>
      <c r="D234" s="1" t="s">
        <v>10</v>
      </c>
      <c r="E234" s="1" t="s">
        <v>24</v>
      </c>
      <c r="F234" s="1" t="s">
        <v>16</v>
      </c>
      <c r="G234" s="1" t="s">
        <v>23</v>
      </c>
      <c r="H234" s="2">
        <v>46</v>
      </c>
      <c r="I234" s="1">
        <v>3964.65</v>
      </c>
    </row>
    <row r="235" spans="1:9" x14ac:dyDescent="0.35">
      <c r="A235" s="2">
        <v>1075</v>
      </c>
      <c r="B235" s="3">
        <v>45106</v>
      </c>
      <c r="C235" s="1" t="s">
        <v>14</v>
      </c>
      <c r="D235" s="1" t="s">
        <v>10</v>
      </c>
      <c r="E235" s="1" t="s">
        <v>24</v>
      </c>
      <c r="F235" s="1" t="s">
        <v>16</v>
      </c>
      <c r="G235" s="1" t="s">
        <v>23</v>
      </c>
      <c r="H235" s="2">
        <v>30</v>
      </c>
      <c r="I235" s="1">
        <v>1095.45</v>
      </c>
    </row>
    <row r="236" spans="1:9" x14ac:dyDescent="0.35">
      <c r="A236" s="2">
        <v>1075</v>
      </c>
      <c r="B236" s="3">
        <v>45208</v>
      </c>
      <c r="C236" s="1" t="s">
        <v>19</v>
      </c>
      <c r="D236" s="1" t="s">
        <v>21</v>
      </c>
      <c r="E236" s="1" t="s">
        <v>24</v>
      </c>
      <c r="F236" s="1" t="s">
        <v>16</v>
      </c>
      <c r="G236" s="1" t="s">
        <v>23</v>
      </c>
      <c r="H236" s="2">
        <v>18</v>
      </c>
      <c r="I236" s="1">
        <v>2682.34</v>
      </c>
    </row>
    <row r="237" spans="1:9" x14ac:dyDescent="0.35">
      <c r="A237" s="2">
        <v>1003</v>
      </c>
      <c r="B237" s="3">
        <v>45291</v>
      </c>
      <c r="C237" s="1" t="s">
        <v>18</v>
      </c>
      <c r="D237" s="1" t="s">
        <v>10</v>
      </c>
      <c r="E237" s="1" t="s">
        <v>24</v>
      </c>
      <c r="F237" s="1" t="s">
        <v>12</v>
      </c>
      <c r="G237" s="1" t="s">
        <v>23</v>
      </c>
      <c r="H237" s="2">
        <v>30</v>
      </c>
      <c r="I237" s="1">
        <v>4270.6499999999996</v>
      </c>
    </row>
    <row r="238" spans="1:9" x14ac:dyDescent="0.35">
      <c r="A238" s="2">
        <v>1002</v>
      </c>
      <c r="B238" s="3">
        <v>45038</v>
      </c>
      <c r="C238" s="1" t="s">
        <v>17</v>
      </c>
      <c r="D238" s="1" t="s">
        <v>22</v>
      </c>
      <c r="E238" s="1" t="s">
        <v>24</v>
      </c>
      <c r="F238" s="1" t="s">
        <v>16</v>
      </c>
      <c r="G238" s="1" t="s">
        <v>23</v>
      </c>
      <c r="H238" s="2">
        <v>9</v>
      </c>
      <c r="I238" s="1">
        <v>4439.12</v>
      </c>
    </row>
    <row r="239" spans="1:9" x14ac:dyDescent="0.35">
      <c r="A239" s="2">
        <v>1064</v>
      </c>
      <c r="B239" s="3">
        <v>44930</v>
      </c>
      <c r="C239" s="1" t="s">
        <v>17</v>
      </c>
      <c r="D239" s="1" t="s">
        <v>22</v>
      </c>
      <c r="E239" s="1" t="s">
        <v>24</v>
      </c>
      <c r="F239" s="1" t="s">
        <v>12</v>
      </c>
      <c r="G239" s="1" t="s">
        <v>23</v>
      </c>
      <c r="H239" s="2">
        <v>10</v>
      </c>
      <c r="I239" s="1">
        <v>5074.42</v>
      </c>
    </row>
    <row r="240" spans="1:9" x14ac:dyDescent="0.35">
      <c r="A240" s="2">
        <v>1022</v>
      </c>
      <c r="B240" s="3">
        <v>45078</v>
      </c>
      <c r="C240" s="1" t="s">
        <v>14</v>
      </c>
      <c r="D240" s="1" t="s">
        <v>22</v>
      </c>
      <c r="E240" s="1" t="s">
        <v>24</v>
      </c>
      <c r="F240" s="1" t="s">
        <v>12</v>
      </c>
      <c r="G240" s="1" t="s">
        <v>23</v>
      </c>
      <c r="H240" s="2">
        <v>9</v>
      </c>
      <c r="I240" s="1">
        <v>2558.9499999999998</v>
      </c>
    </row>
    <row r="241" spans="1:9" x14ac:dyDescent="0.35">
      <c r="A241" s="2">
        <v>1092</v>
      </c>
      <c r="B241" s="3">
        <v>44966</v>
      </c>
      <c r="C241" s="1" t="s">
        <v>14</v>
      </c>
      <c r="D241" s="1" t="s">
        <v>10</v>
      </c>
      <c r="E241" s="1" t="s">
        <v>24</v>
      </c>
      <c r="F241" s="1" t="s">
        <v>20</v>
      </c>
      <c r="G241" s="1" t="s">
        <v>23</v>
      </c>
      <c r="H241" s="2">
        <v>34</v>
      </c>
      <c r="I241" s="1">
        <v>2238.65</v>
      </c>
    </row>
    <row r="242" spans="1:9" x14ac:dyDescent="0.35">
      <c r="A242" s="2">
        <v>1060</v>
      </c>
      <c r="B242" s="3">
        <v>45155</v>
      </c>
      <c r="C242" s="1" t="s">
        <v>9</v>
      </c>
      <c r="D242" s="1" t="s">
        <v>21</v>
      </c>
      <c r="E242" s="1" t="s">
        <v>24</v>
      </c>
      <c r="F242" s="1" t="s">
        <v>12</v>
      </c>
      <c r="G242" s="1" t="s">
        <v>23</v>
      </c>
      <c r="H242" s="2">
        <v>16</v>
      </c>
      <c r="I242" s="1">
        <v>4422.59</v>
      </c>
    </row>
    <row r="243" spans="1:9" x14ac:dyDescent="0.35">
      <c r="A243" s="2">
        <v>1062</v>
      </c>
      <c r="B243" s="3">
        <v>44932</v>
      </c>
      <c r="C243" s="1" t="s">
        <v>17</v>
      </c>
      <c r="D243" s="1" t="s">
        <v>21</v>
      </c>
      <c r="E243" s="1" t="s">
        <v>24</v>
      </c>
      <c r="F243" s="1" t="s">
        <v>20</v>
      </c>
      <c r="G243" s="1" t="s">
        <v>23</v>
      </c>
      <c r="H243" s="2">
        <v>15</v>
      </c>
      <c r="I243" s="1">
        <v>4888.46</v>
      </c>
    </row>
    <row r="244" spans="1:9" x14ac:dyDescent="0.35">
      <c r="A244" s="2">
        <v>1014</v>
      </c>
      <c r="B244" s="3">
        <v>45252</v>
      </c>
      <c r="C244" s="1" t="s">
        <v>14</v>
      </c>
      <c r="D244" s="1" t="s">
        <v>15</v>
      </c>
      <c r="E244" s="1" t="s">
        <v>24</v>
      </c>
      <c r="F244" s="1" t="s">
        <v>16</v>
      </c>
      <c r="G244" s="1" t="s">
        <v>23</v>
      </c>
      <c r="H244" s="2">
        <v>17</v>
      </c>
      <c r="I244" s="1">
        <v>3204.01</v>
      </c>
    </row>
    <row r="245" spans="1:9" x14ac:dyDescent="0.35">
      <c r="A245" s="2">
        <v>1009</v>
      </c>
      <c r="B245" s="3">
        <v>45044</v>
      </c>
      <c r="C245" s="1" t="s">
        <v>18</v>
      </c>
      <c r="D245" s="1" t="s">
        <v>21</v>
      </c>
      <c r="E245" s="1" t="s">
        <v>24</v>
      </c>
      <c r="F245" s="1" t="s">
        <v>20</v>
      </c>
      <c r="G245" s="1" t="s">
        <v>23</v>
      </c>
      <c r="H245" s="2">
        <v>33</v>
      </c>
      <c r="I245" s="1">
        <v>2626.9</v>
      </c>
    </row>
    <row r="246" spans="1:9" x14ac:dyDescent="0.35">
      <c r="A246" s="2">
        <v>1084</v>
      </c>
      <c r="B246" s="3">
        <v>45151</v>
      </c>
      <c r="C246" s="1" t="s">
        <v>18</v>
      </c>
      <c r="D246" s="1" t="s">
        <v>10</v>
      </c>
      <c r="E246" s="1" t="s">
        <v>24</v>
      </c>
      <c r="F246" s="1" t="s">
        <v>12</v>
      </c>
      <c r="G246" s="1" t="s">
        <v>23</v>
      </c>
      <c r="H246" s="2">
        <v>21</v>
      </c>
      <c r="I246" s="1">
        <v>3765.31</v>
      </c>
    </row>
    <row r="247" spans="1:9" x14ac:dyDescent="0.35">
      <c r="A247" s="2">
        <v>1060</v>
      </c>
      <c r="B247" s="3">
        <v>45039</v>
      </c>
      <c r="C247" s="1" t="s">
        <v>17</v>
      </c>
      <c r="D247" s="1" t="s">
        <v>21</v>
      </c>
      <c r="E247" s="1" t="s">
        <v>24</v>
      </c>
      <c r="F247" s="1" t="s">
        <v>20</v>
      </c>
      <c r="G247" s="1" t="s">
        <v>23</v>
      </c>
      <c r="H247" s="2">
        <v>23</v>
      </c>
      <c r="I247" s="1">
        <v>4488.37</v>
      </c>
    </row>
    <row r="248" spans="1:9" x14ac:dyDescent="0.35">
      <c r="A248" s="2">
        <v>1081</v>
      </c>
      <c r="B248" s="3">
        <v>44964</v>
      </c>
      <c r="C248" s="1" t="s">
        <v>14</v>
      </c>
      <c r="D248" s="1" t="s">
        <v>10</v>
      </c>
      <c r="E248" s="1" t="s">
        <v>24</v>
      </c>
      <c r="F248" s="1" t="s">
        <v>16</v>
      </c>
      <c r="G248" s="1" t="s">
        <v>23</v>
      </c>
      <c r="H248" s="2">
        <v>41</v>
      </c>
      <c r="I248" s="1">
        <v>2879.24</v>
      </c>
    </row>
    <row r="249" spans="1:9" x14ac:dyDescent="0.35">
      <c r="A249" s="2">
        <v>1036</v>
      </c>
      <c r="B249" s="3">
        <v>45219</v>
      </c>
      <c r="C249" s="1" t="s">
        <v>14</v>
      </c>
      <c r="D249" s="1" t="s">
        <v>21</v>
      </c>
      <c r="E249" s="1" t="s">
        <v>24</v>
      </c>
      <c r="F249" s="1" t="s">
        <v>12</v>
      </c>
      <c r="G249" s="1" t="s">
        <v>23</v>
      </c>
      <c r="H249" s="2">
        <v>49</v>
      </c>
      <c r="I249" s="1">
        <v>1429.44</v>
      </c>
    </row>
    <row r="250" spans="1:9" x14ac:dyDescent="0.35">
      <c r="A250" s="2">
        <v>1004</v>
      </c>
      <c r="B250" s="3">
        <v>45282</v>
      </c>
      <c r="C250" s="1" t="s">
        <v>17</v>
      </c>
      <c r="D250" s="1" t="s">
        <v>21</v>
      </c>
      <c r="E250" s="1" t="s">
        <v>24</v>
      </c>
      <c r="F250" s="1" t="s">
        <v>12</v>
      </c>
      <c r="G250" s="1" t="s">
        <v>23</v>
      </c>
      <c r="H250" s="2">
        <v>11</v>
      </c>
      <c r="I250" s="1">
        <v>4884.29</v>
      </c>
    </row>
    <row r="251" spans="1:9" x14ac:dyDescent="0.35">
      <c r="A251" s="2">
        <v>1054</v>
      </c>
      <c r="B251" s="3">
        <v>45087</v>
      </c>
      <c r="C251" s="1" t="s">
        <v>9</v>
      </c>
      <c r="D251" s="1" t="s">
        <v>10</v>
      </c>
      <c r="E251" s="1" t="s">
        <v>24</v>
      </c>
      <c r="F251" s="1" t="s">
        <v>16</v>
      </c>
      <c r="G251" s="1" t="s">
        <v>23</v>
      </c>
      <c r="H251" s="2">
        <v>21</v>
      </c>
      <c r="I251" s="1">
        <v>5040.22</v>
      </c>
    </row>
    <row r="252" spans="1:9" x14ac:dyDescent="0.35">
      <c r="A252" s="2">
        <v>1093</v>
      </c>
      <c r="B252" s="3">
        <v>45187</v>
      </c>
      <c r="C252" s="1" t="s">
        <v>14</v>
      </c>
      <c r="D252" s="1" t="s">
        <v>22</v>
      </c>
      <c r="E252" s="1" t="s">
        <v>24</v>
      </c>
      <c r="F252" s="1" t="s">
        <v>20</v>
      </c>
      <c r="G252" s="1" t="s">
        <v>23</v>
      </c>
      <c r="H252" s="2">
        <v>19</v>
      </c>
      <c r="I252" s="1">
        <v>3844.51</v>
      </c>
    </row>
    <row r="253" spans="1:9" x14ac:dyDescent="0.35">
      <c r="A253" s="2">
        <v>1100</v>
      </c>
      <c r="B253" s="3">
        <v>45245</v>
      </c>
      <c r="C253" s="1" t="s">
        <v>17</v>
      </c>
      <c r="D253" s="1" t="s">
        <v>10</v>
      </c>
      <c r="E253" s="1" t="s">
        <v>24</v>
      </c>
      <c r="F253" s="1" t="s">
        <v>16</v>
      </c>
      <c r="G253" s="1" t="s">
        <v>23</v>
      </c>
      <c r="H253" s="2">
        <v>2</v>
      </c>
      <c r="I253" s="1">
        <v>1189.3499999999999</v>
      </c>
    </row>
    <row r="254" spans="1:9" x14ac:dyDescent="0.35">
      <c r="A254" s="2">
        <v>1087</v>
      </c>
      <c r="B254" s="3">
        <v>45021</v>
      </c>
      <c r="C254" s="1" t="s">
        <v>17</v>
      </c>
      <c r="D254" s="1" t="s">
        <v>10</v>
      </c>
      <c r="E254" s="1" t="s">
        <v>24</v>
      </c>
      <c r="F254" s="1" t="s">
        <v>12</v>
      </c>
      <c r="G254" s="1" t="s">
        <v>23</v>
      </c>
      <c r="H254" s="2">
        <v>43</v>
      </c>
      <c r="I254" s="1">
        <v>531.02</v>
      </c>
    </row>
    <row r="255" spans="1:9" x14ac:dyDescent="0.35">
      <c r="A255" s="2">
        <v>1062</v>
      </c>
      <c r="B255" s="3">
        <v>45231</v>
      </c>
      <c r="C255" s="1" t="s">
        <v>9</v>
      </c>
      <c r="D255" s="1" t="s">
        <v>15</v>
      </c>
      <c r="E255" s="1" t="s">
        <v>24</v>
      </c>
      <c r="F255" s="1" t="s">
        <v>12</v>
      </c>
      <c r="G255" s="1" t="s">
        <v>23</v>
      </c>
      <c r="H255" s="2">
        <v>36</v>
      </c>
      <c r="I255" s="1">
        <v>1167.33</v>
      </c>
    </row>
    <row r="256" spans="1:9" x14ac:dyDescent="0.35">
      <c r="A256" s="2">
        <v>1089</v>
      </c>
      <c r="B256" s="3">
        <v>44927</v>
      </c>
      <c r="C256" s="1" t="s">
        <v>19</v>
      </c>
      <c r="D256" s="1" t="s">
        <v>21</v>
      </c>
      <c r="E256" s="1" t="s">
        <v>24</v>
      </c>
      <c r="F256" s="1" t="s">
        <v>20</v>
      </c>
      <c r="G256" s="1" t="s">
        <v>23</v>
      </c>
      <c r="H256" s="2">
        <v>35</v>
      </c>
      <c r="I256" s="1">
        <v>4304.7</v>
      </c>
    </row>
    <row r="257" spans="1:9" x14ac:dyDescent="0.35">
      <c r="A257" s="2">
        <v>1041</v>
      </c>
      <c r="B257" s="3">
        <v>45246</v>
      </c>
      <c r="C257" s="1" t="s">
        <v>14</v>
      </c>
      <c r="D257" s="1" t="s">
        <v>15</v>
      </c>
      <c r="E257" s="1" t="s">
        <v>24</v>
      </c>
      <c r="F257" s="1" t="s">
        <v>12</v>
      </c>
      <c r="G257" s="1" t="s">
        <v>23</v>
      </c>
      <c r="H257" s="2">
        <v>40</v>
      </c>
      <c r="I257" s="1">
        <v>1067.53</v>
      </c>
    </row>
    <row r="258" spans="1:9" x14ac:dyDescent="0.35">
      <c r="A258" s="2">
        <v>1011</v>
      </c>
      <c r="B258" s="3">
        <v>45091</v>
      </c>
      <c r="C258" s="1" t="s">
        <v>18</v>
      </c>
      <c r="D258" s="1" t="s">
        <v>10</v>
      </c>
      <c r="E258" s="1" t="s">
        <v>24</v>
      </c>
      <c r="F258" s="1" t="s">
        <v>16</v>
      </c>
      <c r="G258" s="1" t="s">
        <v>23</v>
      </c>
      <c r="H258" s="2">
        <v>38</v>
      </c>
      <c r="I258" s="1">
        <v>4642.46</v>
      </c>
    </row>
    <row r="259" spans="1:9" x14ac:dyDescent="0.35">
      <c r="A259" s="2">
        <v>1035</v>
      </c>
      <c r="B259" s="3">
        <v>44988</v>
      </c>
      <c r="C259" s="1" t="s">
        <v>9</v>
      </c>
      <c r="D259" s="1" t="s">
        <v>22</v>
      </c>
      <c r="E259" s="1" t="s">
        <v>24</v>
      </c>
      <c r="F259" s="1" t="s">
        <v>16</v>
      </c>
      <c r="G259" s="1" t="s">
        <v>23</v>
      </c>
      <c r="H259" s="2">
        <v>47</v>
      </c>
      <c r="I259" s="1">
        <v>3096.64</v>
      </c>
    </row>
    <row r="260" spans="1:9" x14ac:dyDescent="0.35">
      <c r="A260" s="2">
        <v>1034</v>
      </c>
      <c r="B260" s="3">
        <v>45030</v>
      </c>
      <c r="C260" s="1" t="s">
        <v>18</v>
      </c>
      <c r="D260" s="1" t="s">
        <v>21</v>
      </c>
      <c r="E260" s="1" t="s">
        <v>24</v>
      </c>
      <c r="F260" s="1" t="s">
        <v>12</v>
      </c>
      <c r="G260" s="1" t="s">
        <v>23</v>
      </c>
      <c r="H260" s="2">
        <v>3</v>
      </c>
      <c r="I260" s="1">
        <v>3732</v>
      </c>
    </row>
    <row r="261" spans="1:9" x14ac:dyDescent="0.35">
      <c r="A261" s="2">
        <v>1033</v>
      </c>
      <c r="B261" s="3">
        <v>44940</v>
      </c>
      <c r="C261" s="1" t="s">
        <v>18</v>
      </c>
      <c r="D261" s="1" t="s">
        <v>21</v>
      </c>
      <c r="E261" s="1" t="s">
        <v>24</v>
      </c>
      <c r="F261" s="1" t="s">
        <v>16</v>
      </c>
      <c r="G261" s="1" t="s">
        <v>23</v>
      </c>
      <c r="H261" s="2">
        <v>24</v>
      </c>
      <c r="I261" s="1">
        <v>1367.76</v>
      </c>
    </row>
    <row r="262" spans="1:9" x14ac:dyDescent="0.35">
      <c r="A262" s="2">
        <v>1099</v>
      </c>
      <c r="B262" s="3">
        <v>44989</v>
      </c>
      <c r="C262" s="1" t="s">
        <v>14</v>
      </c>
      <c r="D262" s="1" t="s">
        <v>10</v>
      </c>
      <c r="E262" s="1" t="s">
        <v>24</v>
      </c>
      <c r="F262" s="1" t="s">
        <v>20</v>
      </c>
      <c r="G262" s="1" t="s">
        <v>23</v>
      </c>
      <c r="H262" s="2">
        <v>10</v>
      </c>
      <c r="I262" s="1">
        <v>1955.56</v>
      </c>
    </row>
    <row r="263" spans="1:9" x14ac:dyDescent="0.35">
      <c r="A263" s="2">
        <v>1044</v>
      </c>
      <c r="B263" s="3">
        <v>45069</v>
      </c>
      <c r="C263" s="1" t="s">
        <v>9</v>
      </c>
      <c r="D263" s="1" t="s">
        <v>15</v>
      </c>
      <c r="E263" s="1" t="s">
        <v>24</v>
      </c>
      <c r="F263" s="1" t="s">
        <v>16</v>
      </c>
      <c r="G263" s="1" t="s">
        <v>23</v>
      </c>
      <c r="H263" s="2">
        <v>19</v>
      </c>
      <c r="I263" s="1">
        <v>2504.0300000000002</v>
      </c>
    </row>
    <row r="264" spans="1:9" x14ac:dyDescent="0.35">
      <c r="A264" s="2">
        <v>1086</v>
      </c>
      <c r="B264" s="3">
        <v>45079</v>
      </c>
      <c r="C264" s="1" t="s">
        <v>9</v>
      </c>
      <c r="D264" s="1" t="s">
        <v>22</v>
      </c>
      <c r="E264" s="1" t="s">
        <v>24</v>
      </c>
      <c r="F264" s="1" t="s">
        <v>12</v>
      </c>
      <c r="G264" s="1" t="s">
        <v>23</v>
      </c>
      <c r="H264" s="2">
        <v>3</v>
      </c>
      <c r="I264" s="1">
        <v>1625.71</v>
      </c>
    </row>
    <row r="265" spans="1:9" x14ac:dyDescent="0.35">
      <c r="A265" s="2">
        <v>1001</v>
      </c>
      <c r="B265" s="3">
        <v>45060</v>
      </c>
      <c r="C265" s="1" t="s">
        <v>17</v>
      </c>
      <c r="D265" s="1" t="s">
        <v>22</v>
      </c>
      <c r="E265" s="1" t="s">
        <v>24</v>
      </c>
      <c r="F265" s="1" t="s">
        <v>16</v>
      </c>
      <c r="G265" s="1" t="s">
        <v>23</v>
      </c>
      <c r="H265" s="2">
        <v>35</v>
      </c>
      <c r="I265" s="1">
        <v>3244.76</v>
      </c>
    </row>
    <row r="266" spans="1:9" x14ac:dyDescent="0.35">
      <c r="A266" s="2">
        <v>1005</v>
      </c>
      <c r="B266" s="3">
        <v>44993</v>
      </c>
      <c r="C266" s="1" t="s">
        <v>18</v>
      </c>
      <c r="D266" s="1" t="s">
        <v>21</v>
      </c>
      <c r="E266" s="1" t="s">
        <v>24</v>
      </c>
      <c r="F266" s="1" t="s">
        <v>20</v>
      </c>
      <c r="G266" s="1" t="s">
        <v>23</v>
      </c>
      <c r="H266" s="2">
        <v>12</v>
      </c>
      <c r="I266" s="1">
        <v>683.78</v>
      </c>
    </row>
    <row r="267" spans="1:9" x14ac:dyDescent="0.35">
      <c r="A267" s="2">
        <v>1051</v>
      </c>
      <c r="B267" s="3">
        <v>45023</v>
      </c>
      <c r="C267" s="1" t="s">
        <v>18</v>
      </c>
      <c r="D267" s="1" t="s">
        <v>22</v>
      </c>
      <c r="E267" s="1" t="s">
        <v>24</v>
      </c>
      <c r="F267" s="1" t="s">
        <v>12</v>
      </c>
      <c r="G267" s="1" t="s">
        <v>23</v>
      </c>
      <c r="H267" s="2">
        <v>23</v>
      </c>
      <c r="I267" s="1">
        <v>3401.1</v>
      </c>
    </row>
    <row r="268" spans="1:9" x14ac:dyDescent="0.35">
      <c r="A268" s="2">
        <v>1096</v>
      </c>
      <c r="B268" s="3">
        <v>45012</v>
      </c>
      <c r="C268" s="1" t="s">
        <v>18</v>
      </c>
      <c r="D268" s="1" t="s">
        <v>21</v>
      </c>
      <c r="E268" s="1" t="s">
        <v>24</v>
      </c>
      <c r="F268" s="1" t="s">
        <v>20</v>
      </c>
      <c r="G268" s="1" t="s">
        <v>23</v>
      </c>
      <c r="H268" s="2">
        <v>48</v>
      </c>
      <c r="I268" s="1">
        <v>2714.12</v>
      </c>
    </row>
    <row r="269" spans="1:9" x14ac:dyDescent="0.35">
      <c r="A269" s="2">
        <v>1094</v>
      </c>
      <c r="B269" s="3">
        <v>44936</v>
      </c>
      <c r="C269" s="1" t="s">
        <v>17</v>
      </c>
      <c r="D269" s="1" t="s">
        <v>22</v>
      </c>
      <c r="E269" s="1" t="s">
        <v>24</v>
      </c>
      <c r="F269" s="1" t="s">
        <v>16</v>
      </c>
      <c r="G269" s="1" t="s">
        <v>23</v>
      </c>
      <c r="H269" s="2">
        <v>25</v>
      </c>
      <c r="I269" s="1">
        <v>1982.92</v>
      </c>
    </row>
    <row r="270" spans="1:9" x14ac:dyDescent="0.35">
      <c r="A270" s="2">
        <v>1043</v>
      </c>
      <c r="B270" s="3">
        <v>45256</v>
      </c>
      <c r="C270" s="1" t="s">
        <v>9</v>
      </c>
      <c r="D270" s="1" t="s">
        <v>22</v>
      </c>
      <c r="E270" s="1" t="s">
        <v>24</v>
      </c>
      <c r="F270" s="1" t="s">
        <v>16</v>
      </c>
      <c r="G270" s="1" t="s">
        <v>23</v>
      </c>
      <c r="H270" s="2">
        <v>3</v>
      </c>
      <c r="I270" s="1">
        <v>2186.42</v>
      </c>
    </row>
    <row r="271" spans="1:9" x14ac:dyDescent="0.35">
      <c r="A271" s="2">
        <v>1071</v>
      </c>
      <c r="B271" s="3">
        <v>45229</v>
      </c>
      <c r="C271" s="1" t="s">
        <v>18</v>
      </c>
      <c r="D271" s="1" t="s">
        <v>22</v>
      </c>
      <c r="E271" s="1" t="s">
        <v>24</v>
      </c>
      <c r="F271" s="1" t="s">
        <v>16</v>
      </c>
      <c r="G271" s="1" t="s">
        <v>23</v>
      </c>
      <c r="H271" s="2">
        <v>22</v>
      </c>
      <c r="I271" s="1">
        <v>3185.81</v>
      </c>
    </row>
    <row r="272" spans="1:9" x14ac:dyDescent="0.35">
      <c r="A272" s="2">
        <v>1059</v>
      </c>
      <c r="B272" s="3">
        <v>45154</v>
      </c>
      <c r="C272" s="1" t="s">
        <v>18</v>
      </c>
      <c r="D272" s="1" t="s">
        <v>21</v>
      </c>
      <c r="E272" s="1" t="s">
        <v>24</v>
      </c>
      <c r="F272" s="1" t="s">
        <v>20</v>
      </c>
      <c r="G272" s="1" t="s">
        <v>23</v>
      </c>
      <c r="H272" s="2">
        <v>21</v>
      </c>
      <c r="I272" s="1">
        <v>3192.99</v>
      </c>
    </row>
    <row r="273" spans="1:9" x14ac:dyDescent="0.35">
      <c r="A273" s="2">
        <v>1028</v>
      </c>
      <c r="B273" s="3">
        <v>45142</v>
      </c>
      <c r="C273" s="1" t="s">
        <v>18</v>
      </c>
      <c r="D273" s="1" t="s">
        <v>21</v>
      </c>
      <c r="E273" s="1" t="s">
        <v>24</v>
      </c>
      <c r="F273" s="1" t="s">
        <v>12</v>
      </c>
      <c r="G273" s="1" t="s">
        <v>23</v>
      </c>
      <c r="H273" s="2">
        <v>38</v>
      </c>
      <c r="I273" s="1">
        <v>3449.94</v>
      </c>
    </row>
    <row r="274" spans="1:9" x14ac:dyDescent="0.35">
      <c r="A274" s="2">
        <v>1045</v>
      </c>
      <c r="B274" s="3">
        <v>45083</v>
      </c>
      <c r="C274" s="1" t="s">
        <v>9</v>
      </c>
      <c r="D274" s="1" t="s">
        <v>22</v>
      </c>
      <c r="E274" s="1" t="s">
        <v>24</v>
      </c>
      <c r="F274" s="1" t="s">
        <v>16</v>
      </c>
      <c r="G274" s="1" t="s">
        <v>23</v>
      </c>
      <c r="H274" s="2">
        <v>15</v>
      </c>
      <c r="I274" s="1">
        <v>799.04</v>
      </c>
    </row>
    <row r="275" spans="1:9" x14ac:dyDescent="0.35">
      <c r="A275" s="2">
        <v>1044</v>
      </c>
      <c r="B275" s="3">
        <v>45258</v>
      </c>
      <c r="C275" s="1" t="s">
        <v>19</v>
      </c>
      <c r="D275" s="1" t="s">
        <v>22</v>
      </c>
      <c r="E275" s="1" t="s">
        <v>24</v>
      </c>
      <c r="F275" s="1" t="s">
        <v>20</v>
      </c>
      <c r="G275" s="1" t="s">
        <v>23</v>
      </c>
      <c r="H275" s="2">
        <v>6</v>
      </c>
      <c r="I275" s="1">
        <v>3840.24</v>
      </c>
    </row>
    <row r="276" spans="1:9" x14ac:dyDescent="0.35">
      <c r="A276" s="2">
        <v>1062</v>
      </c>
      <c r="B276" s="3">
        <v>45021</v>
      </c>
      <c r="C276" s="1" t="s">
        <v>9</v>
      </c>
      <c r="D276" s="1" t="s">
        <v>15</v>
      </c>
      <c r="E276" s="1" t="s">
        <v>24</v>
      </c>
      <c r="F276" s="1" t="s">
        <v>12</v>
      </c>
      <c r="G276" s="1" t="s">
        <v>23</v>
      </c>
      <c r="H276" s="2">
        <v>48</v>
      </c>
      <c r="I276" s="1">
        <v>2521.4499999999998</v>
      </c>
    </row>
    <row r="277" spans="1:9" x14ac:dyDescent="0.35">
      <c r="A277" s="2">
        <v>1003</v>
      </c>
      <c r="B277" s="3">
        <v>45180</v>
      </c>
      <c r="C277" s="1" t="s">
        <v>14</v>
      </c>
      <c r="D277" s="1" t="s">
        <v>15</v>
      </c>
      <c r="E277" s="1" t="s">
        <v>24</v>
      </c>
      <c r="F277" s="1" t="s">
        <v>16</v>
      </c>
      <c r="G277" s="1" t="s">
        <v>23</v>
      </c>
      <c r="H277" s="2">
        <v>22</v>
      </c>
      <c r="I277" s="1">
        <v>4331.42</v>
      </c>
    </row>
    <row r="278" spans="1:9" x14ac:dyDescent="0.35">
      <c r="A278" s="2">
        <v>1070</v>
      </c>
      <c r="B278" s="3">
        <v>45256</v>
      </c>
      <c r="C278" s="1" t="s">
        <v>14</v>
      </c>
      <c r="D278" s="1" t="s">
        <v>10</v>
      </c>
      <c r="E278" s="1" t="s">
        <v>24</v>
      </c>
      <c r="F278" s="1" t="s">
        <v>12</v>
      </c>
      <c r="G278" s="1" t="s">
        <v>23</v>
      </c>
      <c r="H278" s="2">
        <v>40</v>
      </c>
      <c r="I278" s="1">
        <v>3258.45</v>
      </c>
    </row>
    <row r="279" spans="1:9" x14ac:dyDescent="0.35">
      <c r="A279" s="2">
        <v>1072</v>
      </c>
      <c r="B279" s="3">
        <v>45286</v>
      </c>
      <c r="C279" s="1" t="s">
        <v>19</v>
      </c>
      <c r="D279" s="1" t="s">
        <v>10</v>
      </c>
      <c r="E279" s="1" t="s">
        <v>24</v>
      </c>
      <c r="F279" s="1" t="s">
        <v>16</v>
      </c>
      <c r="G279" s="1" t="s">
        <v>23</v>
      </c>
      <c r="H279" s="2">
        <v>23</v>
      </c>
      <c r="I279" s="1">
        <v>2074.25</v>
      </c>
    </row>
    <row r="280" spans="1:9" x14ac:dyDescent="0.35">
      <c r="A280" s="2">
        <v>1027</v>
      </c>
      <c r="B280" s="3">
        <v>44964</v>
      </c>
      <c r="C280" s="1" t="s">
        <v>9</v>
      </c>
      <c r="D280" s="1" t="s">
        <v>15</v>
      </c>
      <c r="E280" s="1" t="s">
        <v>24</v>
      </c>
      <c r="F280" s="1" t="s">
        <v>20</v>
      </c>
      <c r="G280" s="1" t="s">
        <v>23</v>
      </c>
      <c r="H280" s="2">
        <v>3</v>
      </c>
      <c r="I280" s="1">
        <v>1271.99</v>
      </c>
    </row>
    <row r="281" spans="1:9" x14ac:dyDescent="0.35">
      <c r="A281" s="2">
        <v>1051</v>
      </c>
      <c r="B281" s="3">
        <v>45272</v>
      </c>
      <c r="C281" s="1" t="s">
        <v>17</v>
      </c>
      <c r="D281" s="1" t="s">
        <v>21</v>
      </c>
      <c r="E281" s="1" t="s">
        <v>24</v>
      </c>
      <c r="F281" s="1" t="s">
        <v>20</v>
      </c>
      <c r="G281" s="1" t="s">
        <v>23</v>
      </c>
      <c r="H281" s="2">
        <v>8</v>
      </c>
      <c r="I281" s="1">
        <v>792.21</v>
      </c>
    </row>
    <row r="282" spans="1:9" x14ac:dyDescent="0.35">
      <c r="A282" s="2">
        <v>1044</v>
      </c>
      <c r="B282" s="3">
        <v>45228</v>
      </c>
      <c r="C282" s="1" t="s">
        <v>19</v>
      </c>
      <c r="D282" s="1" t="s">
        <v>21</v>
      </c>
      <c r="E282" s="1" t="s">
        <v>24</v>
      </c>
      <c r="F282" s="1" t="s">
        <v>12</v>
      </c>
      <c r="G282" s="1" t="s">
        <v>23</v>
      </c>
      <c r="H282" s="2">
        <v>11</v>
      </c>
      <c r="I282" s="1">
        <v>2196.3000000000002</v>
      </c>
    </row>
    <row r="283" spans="1:9" x14ac:dyDescent="0.35">
      <c r="A283" s="2">
        <v>1039</v>
      </c>
      <c r="B283" s="3">
        <v>45059</v>
      </c>
      <c r="C283" s="1" t="s">
        <v>17</v>
      </c>
      <c r="D283" s="1" t="s">
        <v>10</v>
      </c>
      <c r="E283" s="1" t="s">
        <v>24</v>
      </c>
      <c r="F283" s="1" t="s">
        <v>16</v>
      </c>
      <c r="G283" s="1" t="s">
        <v>23</v>
      </c>
      <c r="H283" s="2">
        <v>40</v>
      </c>
      <c r="I283" s="1">
        <v>3945.82</v>
      </c>
    </row>
    <row r="284" spans="1:9" x14ac:dyDescent="0.35">
      <c r="A284" s="2">
        <v>1081</v>
      </c>
      <c r="B284" s="3">
        <v>45032</v>
      </c>
      <c r="C284" s="1" t="s">
        <v>19</v>
      </c>
      <c r="D284" s="1" t="s">
        <v>22</v>
      </c>
      <c r="E284" s="1" t="s">
        <v>24</v>
      </c>
      <c r="F284" s="1" t="s">
        <v>20</v>
      </c>
      <c r="G284" s="1" t="s">
        <v>23</v>
      </c>
      <c r="H284" s="2">
        <v>44</v>
      </c>
      <c r="I284" s="1">
        <v>1844.07</v>
      </c>
    </row>
    <row r="285" spans="1:9" x14ac:dyDescent="0.35">
      <c r="A285" s="2">
        <v>1002</v>
      </c>
      <c r="B285" s="3">
        <v>45213</v>
      </c>
      <c r="C285" s="1" t="s">
        <v>14</v>
      </c>
      <c r="D285" s="1" t="s">
        <v>21</v>
      </c>
      <c r="E285" s="1" t="s">
        <v>24</v>
      </c>
      <c r="F285" s="1" t="s">
        <v>16</v>
      </c>
      <c r="G285" s="1" t="s">
        <v>23</v>
      </c>
      <c r="H285" s="2">
        <v>39</v>
      </c>
      <c r="I285" s="1">
        <v>1389.35</v>
      </c>
    </row>
    <row r="286" spans="1:9" x14ac:dyDescent="0.35">
      <c r="A286" s="2">
        <v>1019</v>
      </c>
      <c r="B286" s="3">
        <v>45228</v>
      </c>
      <c r="C286" s="1" t="s">
        <v>14</v>
      </c>
      <c r="D286" s="1" t="s">
        <v>15</v>
      </c>
      <c r="E286" s="1" t="s">
        <v>24</v>
      </c>
      <c r="F286" s="1" t="s">
        <v>16</v>
      </c>
      <c r="G286" s="1" t="s">
        <v>23</v>
      </c>
      <c r="H286" s="2">
        <v>31</v>
      </c>
      <c r="I286" s="1">
        <v>685.1</v>
      </c>
    </row>
    <row r="287" spans="1:9" x14ac:dyDescent="0.35">
      <c r="A287" s="2">
        <v>1055</v>
      </c>
      <c r="B287" s="3">
        <v>45075</v>
      </c>
      <c r="C287" s="1" t="s">
        <v>17</v>
      </c>
      <c r="D287" s="1" t="s">
        <v>10</v>
      </c>
      <c r="E287" s="1" t="s">
        <v>24</v>
      </c>
      <c r="F287" s="1" t="s">
        <v>16</v>
      </c>
      <c r="G287" s="1" t="s">
        <v>23</v>
      </c>
      <c r="H287" s="2">
        <v>40</v>
      </c>
      <c r="I287" s="1">
        <v>1111.4100000000001</v>
      </c>
    </row>
    <row r="288" spans="1:9" x14ac:dyDescent="0.35">
      <c r="A288" s="2">
        <v>1075</v>
      </c>
      <c r="B288" s="3">
        <v>45235</v>
      </c>
      <c r="C288" s="1" t="s">
        <v>9</v>
      </c>
      <c r="D288" s="1" t="s">
        <v>15</v>
      </c>
      <c r="E288" s="1" t="s">
        <v>24</v>
      </c>
      <c r="F288" s="1" t="s">
        <v>16</v>
      </c>
      <c r="G288" s="1" t="s">
        <v>23</v>
      </c>
      <c r="H288" s="2">
        <v>37</v>
      </c>
      <c r="I288" s="1">
        <v>1906.64</v>
      </c>
    </row>
    <row r="289" spans="1:9" x14ac:dyDescent="0.35">
      <c r="A289" s="2">
        <v>1098</v>
      </c>
      <c r="B289" s="3">
        <v>45217</v>
      </c>
      <c r="C289" s="1" t="s">
        <v>17</v>
      </c>
      <c r="D289" s="1" t="s">
        <v>10</v>
      </c>
      <c r="E289" s="1" t="s">
        <v>24</v>
      </c>
      <c r="F289" s="1" t="s">
        <v>16</v>
      </c>
      <c r="G289" s="1" t="s">
        <v>23</v>
      </c>
      <c r="H289" s="2">
        <v>21</v>
      </c>
      <c r="I289" s="1">
        <v>828.95</v>
      </c>
    </row>
    <row r="290" spans="1:9" x14ac:dyDescent="0.35">
      <c r="A290" s="2">
        <v>1086</v>
      </c>
      <c r="B290" s="3">
        <v>45170</v>
      </c>
      <c r="C290" s="1" t="s">
        <v>19</v>
      </c>
      <c r="D290" s="1" t="s">
        <v>22</v>
      </c>
      <c r="E290" s="1" t="s">
        <v>24</v>
      </c>
      <c r="F290" s="1" t="s">
        <v>12</v>
      </c>
      <c r="G290" s="1" t="s">
        <v>23</v>
      </c>
      <c r="H290" s="2">
        <v>17</v>
      </c>
      <c r="I290" s="1">
        <v>4262.21</v>
      </c>
    </row>
    <row r="291" spans="1:9" x14ac:dyDescent="0.35">
      <c r="A291" s="2">
        <v>1097</v>
      </c>
      <c r="B291" s="3">
        <v>45001</v>
      </c>
      <c r="C291" s="1" t="s">
        <v>14</v>
      </c>
      <c r="D291" s="1" t="s">
        <v>15</v>
      </c>
      <c r="E291" s="1" t="s">
        <v>24</v>
      </c>
      <c r="F291" s="1" t="s">
        <v>20</v>
      </c>
      <c r="G291" s="1" t="s">
        <v>23</v>
      </c>
      <c r="H291" s="2">
        <v>35</v>
      </c>
      <c r="I291" s="1">
        <v>2254.84</v>
      </c>
    </row>
    <row r="292" spans="1:9" x14ac:dyDescent="0.35">
      <c r="A292" s="2">
        <v>1073</v>
      </c>
      <c r="B292" s="3">
        <v>45220</v>
      </c>
      <c r="C292" s="1" t="s">
        <v>18</v>
      </c>
      <c r="D292" s="1" t="s">
        <v>10</v>
      </c>
      <c r="E292" s="1" t="s">
        <v>24</v>
      </c>
      <c r="F292" s="1" t="s">
        <v>12</v>
      </c>
      <c r="G292" s="1" t="s">
        <v>23</v>
      </c>
      <c r="H292" s="2">
        <v>45</v>
      </c>
      <c r="I292" s="1">
        <v>2958.55</v>
      </c>
    </row>
    <row r="293" spans="1:9" x14ac:dyDescent="0.35">
      <c r="A293" s="2">
        <v>1020</v>
      </c>
      <c r="B293" s="3">
        <v>45270</v>
      </c>
      <c r="C293" s="1" t="s">
        <v>9</v>
      </c>
      <c r="D293" s="1" t="s">
        <v>22</v>
      </c>
      <c r="E293" s="1" t="s">
        <v>24</v>
      </c>
      <c r="F293" s="1" t="s">
        <v>16</v>
      </c>
      <c r="G293" s="1" t="s">
        <v>23</v>
      </c>
      <c r="H293" s="2">
        <v>45</v>
      </c>
      <c r="I293" s="1">
        <v>4551.6000000000004</v>
      </c>
    </row>
    <row r="294" spans="1:9" x14ac:dyDescent="0.35">
      <c r="A294" s="2">
        <v>1071</v>
      </c>
      <c r="B294" s="3">
        <v>45103</v>
      </c>
      <c r="C294" s="1" t="s">
        <v>14</v>
      </c>
      <c r="D294" s="1" t="s">
        <v>21</v>
      </c>
      <c r="E294" s="1" t="s">
        <v>24</v>
      </c>
      <c r="F294" s="1" t="s">
        <v>20</v>
      </c>
      <c r="G294" s="1" t="s">
        <v>23</v>
      </c>
      <c r="H294" s="2">
        <v>35</v>
      </c>
      <c r="I294" s="1">
        <v>684.67</v>
      </c>
    </row>
    <row r="295" spans="1:9" x14ac:dyDescent="0.35">
      <c r="A295" s="2">
        <v>1040</v>
      </c>
      <c r="B295" s="3">
        <v>45076</v>
      </c>
      <c r="C295" s="1" t="s">
        <v>18</v>
      </c>
      <c r="D295" s="1" t="s">
        <v>21</v>
      </c>
      <c r="E295" s="1" t="s">
        <v>24</v>
      </c>
      <c r="F295" s="1" t="s">
        <v>20</v>
      </c>
      <c r="G295" s="1" t="s">
        <v>23</v>
      </c>
      <c r="H295" s="2">
        <v>47</v>
      </c>
      <c r="I295" s="1">
        <v>1750.38</v>
      </c>
    </row>
    <row r="296" spans="1:9" x14ac:dyDescent="0.35">
      <c r="A296" s="2">
        <v>1089</v>
      </c>
      <c r="B296" s="3">
        <v>45103</v>
      </c>
      <c r="C296" s="1" t="s">
        <v>17</v>
      </c>
      <c r="D296" s="1" t="s">
        <v>10</v>
      </c>
      <c r="E296" s="1" t="s">
        <v>24</v>
      </c>
      <c r="F296" s="1" t="s">
        <v>12</v>
      </c>
      <c r="G296" s="1" t="s">
        <v>23</v>
      </c>
      <c r="H296" s="2">
        <v>35</v>
      </c>
      <c r="I296" s="1">
        <v>4082.11</v>
      </c>
    </row>
    <row r="297" spans="1:9" x14ac:dyDescent="0.35">
      <c r="A297" s="2">
        <v>1031</v>
      </c>
      <c r="B297" s="3">
        <v>45268</v>
      </c>
      <c r="C297" s="1" t="s">
        <v>14</v>
      </c>
      <c r="D297" s="1" t="s">
        <v>15</v>
      </c>
      <c r="E297" s="1" t="s">
        <v>24</v>
      </c>
      <c r="F297" s="1" t="s">
        <v>16</v>
      </c>
      <c r="G297" s="1" t="s">
        <v>23</v>
      </c>
      <c r="H297" s="2">
        <v>22</v>
      </c>
      <c r="I297" s="1">
        <v>4382.32</v>
      </c>
    </row>
    <row r="298" spans="1:9" x14ac:dyDescent="0.35">
      <c r="A298" s="2">
        <v>1099</v>
      </c>
      <c r="B298" s="3">
        <v>45286</v>
      </c>
      <c r="C298" s="1" t="s">
        <v>17</v>
      </c>
      <c r="D298" s="1" t="s">
        <v>22</v>
      </c>
      <c r="E298" s="1" t="s">
        <v>24</v>
      </c>
      <c r="F298" s="1" t="s">
        <v>16</v>
      </c>
      <c r="G298" s="1" t="s">
        <v>23</v>
      </c>
      <c r="H298" s="2">
        <v>25</v>
      </c>
      <c r="I298" s="1">
        <v>4293.6899999999996</v>
      </c>
    </row>
    <row r="299" spans="1:9" x14ac:dyDescent="0.35">
      <c r="A299" s="2">
        <v>1016</v>
      </c>
      <c r="B299" s="3">
        <v>45253</v>
      </c>
      <c r="C299" s="1" t="s">
        <v>17</v>
      </c>
      <c r="D299" s="1" t="s">
        <v>21</v>
      </c>
      <c r="E299" s="1" t="s">
        <v>24</v>
      </c>
      <c r="F299" s="1" t="s">
        <v>16</v>
      </c>
      <c r="G299" s="1" t="s">
        <v>23</v>
      </c>
      <c r="H299" s="2">
        <v>26</v>
      </c>
      <c r="I299" s="1">
        <v>4954.3900000000003</v>
      </c>
    </row>
    <row r="300" spans="1:9" x14ac:dyDescent="0.35">
      <c r="A300" s="2">
        <v>1090</v>
      </c>
      <c r="B300" s="3">
        <v>45183</v>
      </c>
      <c r="C300" s="1" t="s">
        <v>19</v>
      </c>
      <c r="D300" s="1" t="s">
        <v>21</v>
      </c>
      <c r="E300" s="1" t="s">
        <v>24</v>
      </c>
      <c r="F300" s="1" t="s">
        <v>16</v>
      </c>
      <c r="G300" s="1" t="s">
        <v>23</v>
      </c>
      <c r="H300" s="2">
        <v>47</v>
      </c>
      <c r="I300" s="1">
        <v>2693.33</v>
      </c>
    </row>
    <row r="301" spans="1:9" x14ac:dyDescent="0.35">
      <c r="A301" s="2">
        <v>1048</v>
      </c>
      <c r="B301" s="3">
        <v>45137</v>
      </c>
      <c r="C301" s="1" t="s">
        <v>18</v>
      </c>
      <c r="D301" s="1" t="s">
        <v>10</v>
      </c>
      <c r="E301" s="1" t="s">
        <v>24</v>
      </c>
      <c r="F301" s="1" t="s">
        <v>20</v>
      </c>
      <c r="G301" s="1" t="s">
        <v>23</v>
      </c>
      <c r="H301" s="2">
        <v>6</v>
      </c>
      <c r="I301" s="1">
        <v>2309.4299999999998</v>
      </c>
    </row>
    <row r="302" spans="1:9" x14ac:dyDescent="0.35">
      <c r="A302" s="2">
        <v>1019</v>
      </c>
      <c r="B302" s="3">
        <v>45070</v>
      </c>
      <c r="C302" s="1" t="s">
        <v>17</v>
      </c>
      <c r="D302" s="1" t="s">
        <v>15</v>
      </c>
      <c r="E302" s="1" t="s">
        <v>24</v>
      </c>
      <c r="F302" s="1" t="s">
        <v>12</v>
      </c>
      <c r="G302" s="1" t="s">
        <v>23</v>
      </c>
      <c r="H302" s="2">
        <v>13</v>
      </c>
      <c r="I302" s="1">
        <v>3202.68</v>
      </c>
    </row>
    <row r="303" spans="1:9" x14ac:dyDescent="0.35">
      <c r="A303" s="2">
        <v>1080</v>
      </c>
      <c r="B303" s="3">
        <v>44944</v>
      </c>
      <c r="C303" s="1" t="s">
        <v>19</v>
      </c>
      <c r="D303" s="1" t="s">
        <v>22</v>
      </c>
      <c r="E303" s="1" t="s">
        <v>24</v>
      </c>
      <c r="F303" s="1" t="s">
        <v>20</v>
      </c>
      <c r="G303" s="1" t="s">
        <v>23</v>
      </c>
      <c r="H303" s="2">
        <v>44</v>
      </c>
      <c r="I303" s="1">
        <v>1983.82</v>
      </c>
    </row>
    <row r="304" spans="1:9" x14ac:dyDescent="0.35">
      <c r="A304" s="2" t="s">
        <v>25</v>
      </c>
      <c r="B304" s="3" t="s">
        <v>25</v>
      </c>
      <c r="C304" s="1" t="s">
        <v>25</v>
      </c>
      <c r="D304" s="1" t="s">
        <v>25</v>
      </c>
      <c r="E304" s="1" t="s">
        <v>25</v>
      </c>
      <c r="F304" s="1" t="s">
        <v>25</v>
      </c>
      <c r="G304" s="1" t="s">
        <v>25</v>
      </c>
      <c r="H304" s="2" t="s">
        <v>25</v>
      </c>
      <c r="I304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4CA4-2F5E-4750-B2B6-289147E8CC82}">
  <sheetPr>
    <tabColor rgb="FF00B0F0"/>
  </sheetPr>
  <dimension ref="A1:J304"/>
  <sheetViews>
    <sheetView showGridLines="0" topLeftCell="A292" workbookViewId="0">
      <selection activeCell="F308" sqref="F308"/>
    </sheetView>
  </sheetViews>
  <sheetFormatPr defaultRowHeight="15.5" x14ac:dyDescent="0.35"/>
  <cols>
    <col min="1" max="1" width="12.26953125" style="9" customWidth="1"/>
    <col min="2" max="3" width="11.1796875" style="9" customWidth="1"/>
    <col min="4" max="4" width="17.90625" style="9" customWidth="1"/>
    <col min="5" max="5" width="16" style="9" customWidth="1"/>
    <col min="6" max="6" width="18" style="9" customWidth="1"/>
    <col min="7" max="7" width="14.81640625" style="9" customWidth="1"/>
    <col min="8" max="8" width="14.7265625" style="9" customWidth="1"/>
    <col min="9" max="9" width="11.453125" style="12" customWidth="1"/>
    <col min="10" max="10" width="15.1796875" style="12" bestFit="1" customWidth="1"/>
    <col min="11" max="16384" width="8.7265625" style="9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14" t="s">
        <v>26</v>
      </c>
    </row>
    <row r="2" spans="1:10" x14ac:dyDescent="0.35">
      <c r="A2" s="15">
        <v>1032</v>
      </c>
      <c r="B2" s="16">
        <v>45085</v>
      </c>
      <c r="C2" s="13" t="s">
        <v>17</v>
      </c>
      <c r="D2" s="13" t="s">
        <v>22</v>
      </c>
      <c r="E2" s="13" t="s">
        <v>11</v>
      </c>
      <c r="F2" s="13" t="s">
        <v>20</v>
      </c>
      <c r="G2" s="13" t="s">
        <v>23</v>
      </c>
      <c r="H2" s="15">
        <v>49</v>
      </c>
      <c r="I2" s="14">
        <v>5088</v>
      </c>
      <c r="J2" s="14">
        <f>PRODUCT(Table1[[#This Row],[Quantity_Sold]],Table1[[#This Row],[Unit_Price]])</f>
        <v>249312</v>
      </c>
    </row>
    <row r="3" spans="1:10" x14ac:dyDescent="0.35">
      <c r="A3" s="15">
        <v>1062</v>
      </c>
      <c r="B3" s="16">
        <v>45001</v>
      </c>
      <c r="C3" s="13" t="s">
        <v>14</v>
      </c>
      <c r="D3" s="13" t="s">
        <v>10</v>
      </c>
      <c r="E3" s="13" t="s">
        <v>11</v>
      </c>
      <c r="F3" s="13" t="s">
        <v>20</v>
      </c>
      <c r="G3" s="13" t="s">
        <v>23</v>
      </c>
      <c r="H3" s="15">
        <v>45</v>
      </c>
      <c r="I3" s="14">
        <v>5166.72</v>
      </c>
      <c r="J3" s="14">
        <f>PRODUCT(Table1[[#This Row],[Quantity_Sold]],Table1[[#This Row],[Unit_Price]])</f>
        <v>232502.40000000002</v>
      </c>
    </row>
    <row r="4" spans="1:10" x14ac:dyDescent="0.35">
      <c r="A4" s="15">
        <v>1084</v>
      </c>
      <c r="B4" s="16">
        <v>45099</v>
      </c>
      <c r="C4" s="13" t="s">
        <v>17</v>
      </c>
      <c r="D4" s="13" t="s">
        <v>10</v>
      </c>
      <c r="E4" s="13" t="s">
        <v>11</v>
      </c>
      <c r="F4" s="13" t="s">
        <v>20</v>
      </c>
      <c r="G4" s="13" t="s">
        <v>23</v>
      </c>
      <c r="H4" s="15">
        <v>49</v>
      </c>
      <c r="I4" s="14">
        <v>4645.6400000000003</v>
      </c>
      <c r="J4" s="14">
        <f>PRODUCT(Table1[[#This Row],[Quantity_Sold]],Table1[[#This Row],[Unit_Price]])</f>
        <v>227636.36000000002</v>
      </c>
    </row>
    <row r="5" spans="1:10" x14ac:dyDescent="0.35">
      <c r="A5" s="15">
        <v>1067</v>
      </c>
      <c r="B5" s="16">
        <v>45106</v>
      </c>
      <c r="C5" s="13" t="s">
        <v>17</v>
      </c>
      <c r="D5" s="13" t="s">
        <v>15</v>
      </c>
      <c r="E5" s="13" t="s">
        <v>11</v>
      </c>
      <c r="F5" s="13" t="s">
        <v>16</v>
      </c>
      <c r="G5" s="13" t="s">
        <v>23</v>
      </c>
      <c r="H5" s="15">
        <v>48</v>
      </c>
      <c r="I5" s="14">
        <v>4625.5600000000004</v>
      </c>
      <c r="J5" s="14">
        <f>PRODUCT(Table1[[#This Row],[Quantity_Sold]],Table1[[#This Row],[Unit_Price]])</f>
        <v>222026.88</v>
      </c>
    </row>
    <row r="6" spans="1:10" x14ac:dyDescent="0.35">
      <c r="A6" s="15">
        <v>1097</v>
      </c>
      <c r="B6" s="16">
        <v>45229</v>
      </c>
      <c r="C6" s="13" t="s">
        <v>17</v>
      </c>
      <c r="D6" s="13" t="s">
        <v>22</v>
      </c>
      <c r="E6" s="13" t="s">
        <v>24</v>
      </c>
      <c r="F6" s="13" t="s">
        <v>12</v>
      </c>
      <c r="G6" s="13" t="s">
        <v>13</v>
      </c>
      <c r="H6" s="15">
        <v>49</v>
      </c>
      <c r="I6" s="14">
        <v>4315.5200000000004</v>
      </c>
      <c r="J6" s="14">
        <f>PRODUCT(Table1[[#This Row],[Quantity_Sold]],Table1[[#This Row],[Unit_Price]])</f>
        <v>211460.48000000001</v>
      </c>
    </row>
    <row r="7" spans="1:10" x14ac:dyDescent="0.35">
      <c r="A7" s="15">
        <v>1092</v>
      </c>
      <c r="B7" s="16">
        <v>45169</v>
      </c>
      <c r="C7" s="13" t="s">
        <v>17</v>
      </c>
      <c r="D7" s="13" t="s">
        <v>15</v>
      </c>
      <c r="E7" s="13" t="s">
        <v>24</v>
      </c>
      <c r="F7" s="13" t="s">
        <v>20</v>
      </c>
      <c r="G7" s="13" t="s">
        <v>13</v>
      </c>
      <c r="H7" s="15">
        <v>47</v>
      </c>
      <c r="I7" s="14">
        <v>4462.3999999999996</v>
      </c>
      <c r="J7" s="14">
        <f>PRODUCT(Table1[[#This Row],[Quantity_Sold]],Table1[[#This Row],[Unit_Price]])</f>
        <v>209732.8</v>
      </c>
    </row>
    <row r="8" spans="1:10" x14ac:dyDescent="0.35">
      <c r="A8" s="15">
        <v>1035</v>
      </c>
      <c r="B8" s="16">
        <v>45068</v>
      </c>
      <c r="C8" s="13" t="s">
        <v>18</v>
      </c>
      <c r="D8" s="13" t="s">
        <v>15</v>
      </c>
      <c r="E8" s="13" t="s">
        <v>24</v>
      </c>
      <c r="F8" s="13" t="s">
        <v>20</v>
      </c>
      <c r="G8" s="13" t="s">
        <v>13</v>
      </c>
      <c r="H8" s="15">
        <v>45</v>
      </c>
      <c r="I8" s="14">
        <v>4624.1000000000004</v>
      </c>
      <c r="J8" s="14">
        <f>PRODUCT(Table1[[#This Row],[Quantity_Sold]],Table1[[#This Row],[Unit_Price]])</f>
        <v>208084.50000000003</v>
      </c>
    </row>
    <row r="9" spans="1:10" x14ac:dyDescent="0.35">
      <c r="A9" s="15">
        <v>1020</v>
      </c>
      <c r="B9" s="16">
        <v>45270</v>
      </c>
      <c r="C9" s="13" t="s">
        <v>9</v>
      </c>
      <c r="D9" s="13" t="s">
        <v>22</v>
      </c>
      <c r="E9" s="13" t="s">
        <v>24</v>
      </c>
      <c r="F9" s="13" t="s">
        <v>16</v>
      </c>
      <c r="G9" s="13" t="s">
        <v>23</v>
      </c>
      <c r="H9" s="15">
        <v>45</v>
      </c>
      <c r="I9" s="14">
        <v>4551.6000000000004</v>
      </c>
      <c r="J9" s="14">
        <f>PRODUCT(Table1[[#This Row],[Quantity_Sold]],Table1[[#This Row],[Unit_Price]])</f>
        <v>204822.00000000003</v>
      </c>
    </row>
    <row r="10" spans="1:10" x14ac:dyDescent="0.35">
      <c r="A10" s="15">
        <v>1089</v>
      </c>
      <c r="B10" s="16">
        <v>45237</v>
      </c>
      <c r="C10" s="13" t="s">
        <v>9</v>
      </c>
      <c r="D10" s="13" t="s">
        <v>10</v>
      </c>
      <c r="E10" s="13" t="s">
        <v>24</v>
      </c>
      <c r="F10" s="13" t="s">
        <v>16</v>
      </c>
      <c r="G10" s="13" t="s">
        <v>13</v>
      </c>
      <c r="H10" s="15">
        <v>47</v>
      </c>
      <c r="I10" s="14">
        <v>4314.5600000000004</v>
      </c>
      <c r="J10" s="14">
        <f>PRODUCT(Table1[[#This Row],[Quantity_Sold]],Table1[[#This Row],[Unit_Price]])</f>
        <v>202784.32</v>
      </c>
    </row>
    <row r="11" spans="1:10" x14ac:dyDescent="0.35">
      <c r="A11" s="15">
        <v>1030</v>
      </c>
      <c r="B11" s="16">
        <v>45056</v>
      </c>
      <c r="C11" s="13" t="s">
        <v>9</v>
      </c>
      <c r="D11" s="13" t="s">
        <v>21</v>
      </c>
      <c r="E11" s="13" t="s">
        <v>11</v>
      </c>
      <c r="F11" s="13" t="s">
        <v>16</v>
      </c>
      <c r="G11" s="13" t="s">
        <v>23</v>
      </c>
      <c r="H11" s="15">
        <v>43</v>
      </c>
      <c r="I11" s="14">
        <v>4713.68</v>
      </c>
      <c r="J11" s="14">
        <f>PRODUCT(Table1[[#This Row],[Quantity_Sold]],Table1[[#This Row],[Unit_Price]])</f>
        <v>202688.24000000002</v>
      </c>
    </row>
    <row r="12" spans="1:10" x14ac:dyDescent="0.35">
      <c r="A12" s="15">
        <v>1088</v>
      </c>
      <c r="B12" s="16">
        <v>45203</v>
      </c>
      <c r="C12" s="13" t="s">
        <v>9</v>
      </c>
      <c r="D12" s="13" t="s">
        <v>22</v>
      </c>
      <c r="E12" s="13" t="s">
        <v>24</v>
      </c>
      <c r="F12" s="13" t="s">
        <v>20</v>
      </c>
      <c r="G12" s="13" t="s">
        <v>13</v>
      </c>
      <c r="H12" s="15">
        <v>40</v>
      </c>
      <c r="I12" s="14">
        <v>5034.3500000000004</v>
      </c>
      <c r="J12" s="14">
        <f>PRODUCT(Table1[[#This Row],[Quantity_Sold]],Table1[[#This Row],[Unit_Price]])</f>
        <v>201374</v>
      </c>
    </row>
    <row r="13" spans="1:10" x14ac:dyDescent="0.35">
      <c r="A13" s="15">
        <v>1080</v>
      </c>
      <c r="B13" s="16">
        <v>44943</v>
      </c>
      <c r="C13" s="13" t="s">
        <v>9</v>
      </c>
      <c r="D13" s="13" t="s">
        <v>10</v>
      </c>
      <c r="E13" s="13" t="s">
        <v>11</v>
      </c>
      <c r="F13" s="13" t="s">
        <v>16</v>
      </c>
      <c r="G13" s="13" t="s">
        <v>23</v>
      </c>
      <c r="H13" s="15">
        <v>47</v>
      </c>
      <c r="I13" s="14">
        <v>4211.25</v>
      </c>
      <c r="J13" s="14">
        <f>PRODUCT(Table1[[#This Row],[Quantity_Sold]],Table1[[#This Row],[Unit_Price]])</f>
        <v>197928.75</v>
      </c>
    </row>
    <row r="14" spans="1:10" x14ac:dyDescent="0.35">
      <c r="A14" s="15">
        <v>1073</v>
      </c>
      <c r="B14" s="16">
        <v>45222</v>
      </c>
      <c r="C14" s="13" t="s">
        <v>19</v>
      </c>
      <c r="D14" s="13" t="s">
        <v>21</v>
      </c>
      <c r="E14" s="13" t="s">
        <v>11</v>
      </c>
      <c r="F14" s="13" t="s">
        <v>20</v>
      </c>
      <c r="G14" s="13" t="s">
        <v>13</v>
      </c>
      <c r="H14" s="15">
        <v>45</v>
      </c>
      <c r="I14" s="14">
        <v>4381.8900000000003</v>
      </c>
      <c r="J14" s="14">
        <f>PRODUCT(Table1[[#This Row],[Quantity_Sold]],Table1[[#This Row],[Unit_Price]])</f>
        <v>197185.05000000002</v>
      </c>
    </row>
    <row r="15" spans="1:10" x14ac:dyDescent="0.35">
      <c r="A15" s="15">
        <v>1008</v>
      </c>
      <c r="B15" s="16">
        <v>44927</v>
      </c>
      <c r="C15" s="13" t="s">
        <v>17</v>
      </c>
      <c r="D15" s="13" t="s">
        <v>21</v>
      </c>
      <c r="E15" s="13" t="s">
        <v>11</v>
      </c>
      <c r="F15" s="13" t="s">
        <v>12</v>
      </c>
      <c r="G15" s="13" t="s">
        <v>23</v>
      </c>
      <c r="H15" s="15">
        <v>38</v>
      </c>
      <c r="I15" s="14">
        <v>5075.4399999999996</v>
      </c>
      <c r="J15" s="14">
        <f>PRODUCT(Table1[[#This Row],[Quantity_Sold]],Table1[[#This Row],[Unit_Price]])</f>
        <v>192866.71999999997</v>
      </c>
    </row>
    <row r="16" spans="1:10" x14ac:dyDescent="0.35">
      <c r="A16" s="15">
        <v>1021</v>
      </c>
      <c r="B16" s="16">
        <v>45120</v>
      </c>
      <c r="C16" s="13" t="s">
        <v>9</v>
      </c>
      <c r="D16" s="13" t="s">
        <v>10</v>
      </c>
      <c r="E16" s="13" t="s">
        <v>11</v>
      </c>
      <c r="F16" s="13" t="s">
        <v>12</v>
      </c>
      <c r="G16" s="13" t="s">
        <v>13</v>
      </c>
      <c r="H16" s="15">
        <v>43</v>
      </c>
      <c r="I16" s="14">
        <v>4469.07</v>
      </c>
      <c r="J16" s="14">
        <f>PRODUCT(Table1[[#This Row],[Quantity_Sold]],Table1[[#This Row],[Unit_Price]])</f>
        <v>192170.00999999998</v>
      </c>
    </row>
    <row r="17" spans="1:10" x14ac:dyDescent="0.35">
      <c r="A17" s="15">
        <v>1092</v>
      </c>
      <c r="B17" s="16">
        <v>44946</v>
      </c>
      <c r="C17" s="13" t="s">
        <v>19</v>
      </c>
      <c r="D17" s="13" t="s">
        <v>22</v>
      </c>
      <c r="E17" s="13" t="s">
        <v>24</v>
      </c>
      <c r="F17" s="13" t="s">
        <v>16</v>
      </c>
      <c r="G17" s="13" t="s">
        <v>13</v>
      </c>
      <c r="H17" s="15">
        <v>40</v>
      </c>
      <c r="I17" s="14">
        <v>4731.9799999999996</v>
      </c>
      <c r="J17" s="14">
        <f>PRODUCT(Table1[[#This Row],[Quantity_Sold]],Table1[[#This Row],[Unit_Price]])</f>
        <v>189279.19999999998</v>
      </c>
    </row>
    <row r="18" spans="1:10" x14ac:dyDescent="0.35">
      <c r="A18" s="15">
        <v>1060</v>
      </c>
      <c r="B18" s="16">
        <v>45276</v>
      </c>
      <c r="C18" s="13" t="s">
        <v>17</v>
      </c>
      <c r="D18" s="13" t="s">
        <v>21</v>
      </c>
      <c r="E18" s="13" t="s">
        <v>24</v>
      </c>
      <c r="F18" s="13" t="s">
        <v>16</v>
      </c>
      <c r="G18" s="13" t="s">
        <v>13</v>
      </c>
      <c r="H18" s="15">
        <v>44</v>
      </c>
      <c r="I18" s="14">
        <v>4276.99</v>
      </c>
      <c r="J18" s="14">
        <f>PRODUCT(Table1[[#This Row],[Quantity_Sold]],Table1[[#This Row],[Unit_Price]])</f>
        <v>188187.56</v>
      </c>
    </row>
    <row r="19" spans="1:10" x14ac:dyDescent="0.35">
      <c r="A19" s="15">
        <v>1087</v>
      </c>
      <c r="B19" s="16">
        <v>44932</v>
      </c>
      <c r="C19" s="13" t="s">
        <v>17</v>
      </c>
      <c r="D19" s="13" t="s">
        <v>10</v>
      </c>
      <c r="E19" s="13" t="s">
        <v>24</v>
      </c>
      <c r="F19" s="13" t="s">
        <v>16</v>
      </c>
      <c r="G19" s="13" t="s">
        <v>23</v>
      </c>
      <c r="H19" s="15">
        <v>46</v>
      </c>
      <c r="I19" s="14">
        <v>3964.65</v>
      </c>
      <c r="J19" s="14">
        <f>PRODUCT(Table1[[#This Row],[Quantity_Sold]],Table1[[#This Row],[Unit_Price]])</f>
        <v>182373.9</v>
      </c>
    </row>
    <row r="20" spans="1:10" x14ac:dyDescent="0.35">
      <c r="A20" s="15">
        <v>1089</v>
      </c>
      <c r="B20" s="16">
        <v>45226</v>
      </c>
      <c r="C20" s="13" t="s">
        <v>14</v>
      </c>
      <c r="D20" s="13" t="s">
        <v>10</v>
      </c>
      <c r="E20" s="13" t="s">
        <v>11</v>
      </c>
      <c r="F20" s="13" t="s">
        <v>20</v>
      </c>
      <c r="G20" s="13" t="s">
        <v>23</v>
      </c>
      <c r="H20" s="15">
        <v>43</v>
      </c>
      <c r="I20" s="14">
        <v>4186.9799999999996</v>
      </c>
      <c r="J20" s="14">
        <f>PRODUCT(Table1[[#This Row],[Quantity_Sold]],Table1[[#This Row],[Unit_Price]])</f>
        <v>180040.13999999998</v>
      </c>
    </row>
    <row r="21" spans="1:10" x14ac:dyDescent="0.35">
      <c r="A21" s="15">
        <v>1011</v>
      </c>
      <c r="B21" s="16">
        <v>45091</v>
      </c>
      <c r="C21" s="13" t="s">
        <v>18</v>
      </c>
      <c r="D21" s="13" t="s">
        <v>10</v>
      </c>
      <c r="E21" s="13" t="s">
        <v>24</v>
      </c>
      <c r="F21" s="13" t="s">
        <v>16</v>
      </c>
      <c r="G21" s="13" t="s">
        <v>23</v>
      </c>
      <c r="H21" s="15">
        <v>38</v>
      </c>
      <c r="I21" s="14">
        <v>4642.46</v>
      </c>
      <c r="J21" s="14">
        <f>PRODUCT(Table1[[#This Row],[Quantity_Sold]],Table1[[#This Row],[Unit_Price]])</f>
        <v>176413.48</v>
      </c>
    </row>
    <row r="22" spans="1:10" x14ac:dyDescent="0.35">
      <c r="A22" s="15">
        <v>1072</v>
      </c>
      <c r="B22" s="16">
        <v>45162</v>
      </c>
      <c r="C22" s="13" t="s">
        <v>9</v>
      </c>
      <c r="D22" s="13" t="s">
        <v>21</v>
      </c>
      <c r="E22" s="13" t="s">
        <v>24</v>
      </c>
      <c r="F22" s="13" t="s">
        <v>20</v>
      </c>
      <c r="G22" s="13" t="s">
        <v>13</v>
      </c>
      <c r="H22" s="15">
        <v>39</v>
      </c>
      <c r="I22" s="14">
        <v>4467.75</v>
      </c>
      <c r="J22" s="14">
        <f>PRODUCT(Table1[[#This Row],[Quantity_Sold]],Table1[[#This Row],[Unit_Price]])</f>
        <v>174242.25</v>
      </c>
    </row>
    <row r="23" spans="1:10" x14ac:dyDescent="0.35">
      <c r="A23" s="15">
        <v>1053</v>
      </c>
      <c r="B23" s="16">
        <v>45272</v>
      </c>
      <c r="C23" s="13" t="s">
        <v>18</v>
      </c>
      <c r="D23" s="13" t="s">
        <v>22</v>
      </c>
      <c r="E23" s="13" t="s">
        <v>11</v>
      </c>
      <c r="F23" s="13" t="s">
        <v>16</v>
      </c>
      <c r="G23" s="13" t="s">
        <v>13</v>
      </c>
      <c r="H23" s="15">
        <v>47</v>
      </c>
      <c r="I23" s="14">
        <v>3696.1</v>
      </c>
      <c r="J23" s="14">
        <f>PRODUCT(Table1[[#This Row],[Quantity_Sold]],Table1[[#This Row],[Unit_Price]])</f>
        <v>173716.69999999998</v>
      </c>
    </row>
    <row r="24" spans="1:10" x14ac:dyDescent="0.35">
      <c r="A24" s="15">
        <v>1032</v>
      </c>
      <c r="B24" s="16">
        <v>45030</v>
      </c>
      <c r="C24" s="13" t="s">
        <v>14</v>
      </c>
      <c r="D24" s="13" t="s">
        <v>21</v>
      </c>
      <c r="E24" s="13" t="s">
        <v>24</v>
      </c>
      <c r="F24" s="13" t="s">
        <v>12</v>
      </c>
      <c r="G24" s="13" t="s">
        <v>13</v>
      </c>
      <c r="H24" s="15">
        <v>45</v>
      </c>
      <c r="I24" s="14">
        <v>3780.88</v>
      </c>
      <c r="J24" s="14">
        <f>PRODUCT(Table1[[#This Row],[Quantity_Sold]],Table1[[#This Row],[Unit_Price]])</f>
        <v>170139.6</v>
      </c>
    </row>
    <row r="25" spans="1:10" x14ac:dyDescent="0.35">
      <c r="A25" s="15">
        <v>1053</v>
      </c>
      <c r="B25" s="16">
        <v>45063</v>
      </c>
      <c r="C25" s="13" t="s">
        <v>9</v>
      </c>
      <c r="D25" s="13" t="s">
        <v>21</v>
      </c>
      <c r="E25" s="13" t="s">
        <v>24</v>
      </c>
      <c r="F25" s="13" t="s">
        <v>12</v>
      </c>
      <c r="G25" s="13" t="s">
        <v>13</v>
      </c>
      <c r="H25" s="15">
        <v>36</v>
      </c>
      <c r="I25" s="14">
        <v>4720.2700000000004</v>
      </c>
      <c r="J25" s="14">
        <f>PRODUCT(Table1[[#This Row],[Quantity_Sold]],Table1[[#This Row],[Unit_Price]])</f>
        <v>169929.72000000003</v>
      </c>
    </row>
    <row r="26" spans="1:10" x14ac:dyDescent="0.35">
      <c r="A26" s="15">
        <v>1075</v>
      </c>
      <c r="B26" s="16">
        <v>45041</v>
      </c>
      <c r="C26" s="13" t="s">
        <v>14</v>
      </c>
      <c r="D26" s="13" t="s">
        <v>10</v>
      </c>
      <c r="E26" s="13" t="s">
        <v>11</v>
      </c>
      <c r="F26" s="13" t="s">
        <v>16</v>
      </c>
      <c r="G26" s="13" t="s">
        <v>23</v>
      </c>
      <c r="H26" s="15">
        <v>44</v>
      </c>
      <c r="I26" s="14">
        <v>3822.98</v>
      </c>
      <c r="J26" s="14">
        <f>PRODUCT(Table1[[#This Row],[Quantity_Sold]],Table1[[#This Row],[Unit_Price]])</f>
        <v>168211.12</v>
      </c>
    </row>
    <row r="27" spans="1:10" x14ac:dyDescent="0.35">
      <c r="A27" s="15">
        <v>1096</v>
      </c>
      <c r="B27" s="16">
        <v>45136</v>
      </c>
      <c r="C27" s="13" t="s">
        <v>19</v>
      </c>
      <c r="D27" s="13" t="s">
        <v>22</v>
      </c>
      <c r="E27" s="13" t="s">
        <v>11</v>
      </c>
      <c r="F27" s="13" t="s">
        <v>20</v>
      </c>
      <c r="G27" s="13" t="s">
        <v>23</v>
      </c>
      <c r="H27" s="15">
        <v>38</v>
      </c>
      <c r="I27" s="14">
        <v>4270.59</v>
      </c>
      <c r="J27" s="14">
        <f>PRODUCT(Table1[[#This Row],[Quantity_Sold]],Table1[[#This Row],[Unit_Price]])</f>
        <v>162282.42000000001</v>
      </c>
    </row>
    <row r="28" spans="1:10" x14ac:dyDescent="0.35">
      <c r="A28" s="15">
        <v>1090</v>
      </c>
      <c r="B28" s="16">
        <v>45105</v>
      </c>
      <c r="C28" s="13" t="s">
        <v>19</v>
      </c>
      <c r="D28" s="13" t="s">
        <v>21</v>
      </c>
      <c r="E28" s="13" t="s">
        <v>11</v>
      </c>
      <c r="F28" s="13" t="s">
        <v>20</v>
      </c>
      <c r="G28" s="13" t="s">
        <v>23</v>
      </c>
      <c r="H28" s="15">
        <v>41</v>
      </c>
      <c r="I28" s="14">
        <v>3946.77</v>
      </c>
      <c r="J28" s="14">
        <f>PRODUCT(Table1[[#This Row],[Quantity_Sold]],Table1[[#This Row],[Unit_Price]])</f>
        <v>161817.57</v>
      </c>
    </row>
    <row r="29" spans="1:10" x14ac:dyDescent="0.35">
      <c r="A29" s="15">
        <v>1039</v>
      </c>
      <c r="B29" s="16">
        <v>45059</v>
      </c>
      <c r="C29" s="13" t="s">
        <v>17</v>
      </c>
      <c r="D29" s="13" t="s">
        <v>10</v>
      </c>
      <c r="E29" s="13" t="s">
        <v>24</v>
      </c>
      <c r="F29" s="13" t="s">
        <v>16</v>
      </c>
      <c r="G29" s="13" t="s">
        <v>23</v>
      </c>
      <c r="H29" s="15">
        <v>40</v>
      </c>
      <c r="I29" s="14">
        <v>3945.82</v>
      </c>
      <c r="J29" s="14">
        <f>PRODUCT(Table1[[#This Row],[Quantity_Sold]],Table1[[#This Row],[Unit_Price]])</f>
        <v>157832.80000000002</v>
      </c>
    </row>
    <row r="30" spans="1:10" x14ac:dyDescent="0.35">
      <c r="A30" s="15">
        <v>1016</v>
      </c>
      <c r="B30" s="16">
        <v>45016</v>
      </c>
      <c r="C30" s="13" t="s">
        <v>17</v>
      </c>
      <c r="D30" s="13" t="s">
        <v>22</v>
      </c>
      <c r="E30" s="13" t="s">
        <v>11</v>
      </c>
      <c r="F30" s="13" t="s">
        <v>12</v>
      </c>
      <c r="G30" s="13" t="s">
        <v>23</v>
      </c>
      <c r="H30" s="15">
        <v>38</v>
      </c>
      <c r="I30" s="14">
        <v>4152.72</v>
      </c>
      <c r="J30" s="14">
        <f>PRODUCT(Table1[[#This Row],[Quantity_Sold]],Table1[[#This Row],[Unit_Price]])</f>
        <v>157803.36000000002</v>
      </c>
    </row>
    <row r="31" spans="1:10" x14ac:dyDescent="0.35">
      <c r="A31" s="15">
        <v>1045</v>
      </c>
      <c r="B31" s="16">
        <v>45275</v>
      </c>
      <c r="C31" s="13" t="s">
        <v>14</v>
      </c>
      <c r="D31" s="13" t="s">
        <v>21</v>
      </c>
      <c r="E31" s="13" t="s">
        <v>11</v>
      </c>
      <c r="F31" s="13" t="s">
        <v>12</v>
      </c>
      <c r="G31" s="13" t="s">
        <v>23</v>
      </c>
      <c r="H31" s="15">
        <v>42</v>
      </c>
      <c r="I31" s="14">
        <v>3745.91</v>
      </c>
      <c r="J31" s="14">
        <f>PRODUCT(Table1[[#This Row],[Quantity_Sold]],Table1[[#This Row],[Unit_Price]])</f>
        <v>157328.22</v>
      </c>
    </row>
    <row r="32" spans="1:10" x14ac:dyDescent="0.35">
      <c r="A32" s="15">
        <v>1078</v>
      </c>
      <c r="B32" s="16">
        <v>44965</v>
      </c>
      <c r="C32" s="13" t="s">
        <v>18</v>
      </c>
      <c r="D32" s="13" t="s">
        <v>10</v>
      </c>
      <c r="E32" s="13" t="s">
        <v>11</v>
      </c>
      <c r="F32" s="13" t="s">
        <v>12</v>
      </c>
      <c r="G32" s="13" t="s">
        <v>13</v>
      </c>
      <c r="H32" s="15">
        <v>49</v>
      </c>
      <c r="I32" s="14">
        <v>3183.58</v>
      </c>
      <c r="J32" s="14">
        <f>PRODUCT(Table1[[#This Row],[Quantity_Sold]],Table1[[#This Row],[Unit_Price]])</f>
        <v>155995.41999999998</v>
      </c>
    </row>
    <row r="33" spans="1:10" x14ac:dyDescent="0.35">
      <c r="A33" s="15">
        <v>1019</v>
      </c>
      <c r="B33" s="16">
        <v>45078</v>
      </c>
      <c r="C33" s="13" t="s">
        <v>9</v>
      </c>
      <c r="D33" s="13" t="s">
        <v>21</v>
      </c>
      <c r="E33" s="13" t="s">
        <v>11</v>
      </c>
      <c r="F33" s="13" t="s">
        <v>16</v>
      </c>
      <c r="G33" s="13" t="s">
        <v>23</v>
      </c>
      <c r="H33" s="15">
        <v>38</v>
      </c>
      <c r="I33" s="14">
        <v>4096.96</v>
      </c>
      <c r="J33" s="14">
        <f>PRODUCT(Table1[[#This Row],[Quantity_Sold]],Table1[[#This Row],[Unit_Price]])</f>
        <v>155684.48000000001</v>
      </c>
    </row>
    <row r="34" spans="1:10" x14ac:dyDescent="0.35">
      <c r="A34" s="15">
        <v>1059</v>
      </c>
      <c r="B34" s="16">
        <v>45067</v>
      </c>
      <c r="C34" s="13" t="s">
        <v>18</v>
      </c>
      <c r="D34" s="13" t="s">
        <v>22</v>
      </c>
      <c r="E34" s="13" t="s">
        <v>11</v>
      </c>
      <c r="F34" s="13" t="s">
        <v>12</v>
      </c>
      <c r="G34" s="13" t="s">
        <v>13</v>
      </c>
      <c r="H34" s="15">
        <v>37</v>
      </c>
      <c r="I34" s="14">
        <v>4172.3500000000004</v>
      </c>
      <c r="J34" s="14">
        <f>PRODUCT(Table1[[#This Row],[Quantity_Sold]],Table1[[#This Row],[Unit_Price]])</f>
        <v>154376.95000000001</v>
      </c>
    </row>
    <row r="35" spans="1:10" x14ac:dyDescent="0.35">
      <c r="A35" s="15">
        <v>1006</v>
      </c>
      <c r="B35" s="16">
        <v>45185</v>
      </c>
      <c r="C35" s="13" t="s">
        <v>9</v>
      </c>
      <c r="D35" s="13" t="s">
        <v>15</v>
      </c>
      <c r="E35" s="13" t="s">
        <v>24</v>
      </c>
      <c r="F35" s="13" t="s">
        <v>12</v>
      </c>
      <c r="G35" s="13" t="s">
        <v>13</v>
      </c>
      <c r="H35" s="15">
        <v>49</v>
      </c>
      <c r="I35" s="14">
        <v>3146.6</v>
      </c>
      <c r="J35" s="14">
        <f>PRODUCT(Table1[[#This Row],[Quantity_Sold]],Table1[[#This Row],[Unit_Price]])</f>
        <v>154183.4</v>
      </c>
    </row>
    <row r="36" spans="1:10" x14ac:dyDescent="0.35">
      <c r="A36" s="15">
        <v>1063</v>
      </c>
      <c r="B36" s="16">
        <v>45064</v>
      </c>
      <c r="C36" s="13" t="s">
        <v>9</v>
      </c>
      <c r="D36" s="13" t="s">
        <v>15</v>
      </c>
      <c r="E36" s="13" t="s">
        <v>11</v>
      </c>
      <c r="F36" s="13" t="s">
        <v>12</v>
      </c>
      <c r="G36" s="13" t="s">
        <v>13</v>
      </c>
      <c r="H36" s="15">
        <v>39</v>
      </c>
      <c r="I36" s="14">
        <v>3931.25</v>
      </c>
      <c r="J36" s="14">
        <f>PRODUCT(Table1[[#This Row],[Quantity_Sold]],Table1[[#This Row],[Unit_Price]])</f>
        <v>153318.75</v>
      </c>
    </row>
    <row r="37" spans="1:10" x14ac:dyDescent="0.35">
      <c r="A37" s="15">
        <v>1090</v>
      </c>
      <c r="B37" s="16">
        <v>45108</v>
      </c>
      <c r="C37" s="13" t="s">
        <v>14</v>
      </c>
      <c r="D37" s="13" t="s">
        <v>10</v>
      </c>
      <c r="E37" s="13" t="s">
        <v>24</v>
      </c>
      <c r="F37" s="13" t="s">
        <v>12</v>
      </c>
      <c r="G37" s="13" t="s">
        <v>13</v>
      </c>
      <c r="H37" s="15">
        <v>31</v>
      </c>
      <c r="I37" s="14">
        <v>4880.8</v>
      </c>
      <c r="J37" s="14">
        <f>PRODUCT(Table1[[#This Row],[Quantity_Sold]],Table1[[#This Row],[Unit_Price]])</f>
        <v>151304.80000000002</v>
      </c>
    </row>
    <row r="38" spans="1:10" x14ac:dyDescent="0.35">
      <c r="A38" s="15">
        <v>1039</v>
      </c>
      <c r="B38" s="16">
        <v>45129</v>
      </c>
      <c r="C38" s="13" t="s">
        <v>18</v>
      </c>
      <c r="D38" s="13" t="s">
        <v>21</v>
      </c>
      <c r="E38" s="13" t="s">
        <v>11</v>
      </c>
      <c r="F38" s="13" t="s">
        <v>20</v>
      </c>
      <c r="G38" s="13" t="s">
        <v>13</v>
      </c>
      <c r="H38" s="15">
        <v>42</v>
      </c>
      <c r="I38" s="14">
        <v>3600.14</v>
      </c>
      <c r="J38" s="14">
        <f>PRODUCT(Table1[[#This Row],[Quantity_Sold]],Table1[[#This Row],[Unit_Price]])</f>
        <v>151205.88</v>
      </c>
    </row>
    <row r="39" spans="1:10" x14ac:dyDescent="0.35">
      <c r="A39" s="15">
        <v>1089</v>
      </c>
      <c r="B39" s="16">
        <v>44927</v>
      </c>
      <c r="C39" s="13" t="s">
        <v>19</v>
      </c>
      <c r="D39" s="13" t="s">
        <v>21</v>
      </c>
      <c r="E39" s="13" t="s">
        <v>24</v>
      </c>
      <c r="F39" s="13" t="s">
        <v>20</v>
      </c>
      <c r="G39" s="13" t="s">
        <v>23</v>
      </c>
      <c r="H39" s="15">
        <v>35</v>
      </c>
      <c r="I39" s="14">
        <v>4304.7</v>
      </c>
      <c r="J39" s="14">
        <f>PRODUCT(Table1[[#This Row],[Quantity_Sold]],Table1[[#This Row],[Unit_Price]])</f>
        <v>150664.5</v>
      </c>
    </row>
    <row r="40" spans="1:10" x14ac:dyDescent="0.35">
      <c r="A40" s="15">
        <v>1052</v>
      </c>
      <c r="B40" s="16">
        <v>45122</v>
      </c>
      <c r="C40" s="13" t="s">
        <v>19</v>
      </c>
      <c r="D40" s="13" t="s">
        <v>15</v>
      </c>
      <c r="E40" s="13" t="s">
        <v>11</v>
      </c>
      <c r="F40" s="13" t="s">
        <v>16</v>
      </c>
      <c r="G40" s="13" t="s">
        <v>13</v>
      </c>
      <c r="H40" s="15">
        <v>48</v>
      </c>
      <c r="I40" s="14">
        <v>3080.61</v>
      </c>
      <c r="J40" s="14">
        <f>PRODUCT(Table1[[#This Row],[Quantity_Sold]],Table1[[#This Row],[Unit_Price]])</f>
        <v>147869.28</v>
      </c>
    </row>
    <row r="41" spans="1:10" x14ac:dyDescent="0.35">
      <c r="A41" s="15">
        <v>1052</v>
      </c>
      <c r="B41" s="16">
        <v>45211</v>
      </c>
      <c r="C41" s="13" t="s">
        <v>14</v>
      </c>
      <c r="D41" s="13" t="s">
        <v>22</v>
      </c>
      <c r="E41" s="13" t="s">
        <v>11</v>
      </c>
      <c r="F41" s="13" t="s">
        <v>12</v>
      </c>
      <c r="G41" s="13" t="s">
        <v>13</v>
      </c>
      <c r="H41" s="15">
        <v>46</v>
      </c>
      <c r="I41" s="14">
        <v>3198.49</v>
      </c>
      <c r="J41" s="14">
        <f>PRODUCT(Table1[[#This Row],[Quantity_Sold]],Table1[[#This Row],[Unit_Price]])</f>
        <v>147130.53999999998</v>
      </c>
    </row>
    <row r="42" spans="1:10" x14ac:dyDescent="0.35">
      <c r="A42" s="15">
        <v>1058</v>
      </c>
      <c r="B42" s="16">
        <v>45097</v>
      </c>
      <c r="C42" s="13" t="s">
        <v>17</v>
      </c>
      <c r="D42" s="13" t="s">
        <v>21</v>
      </c>
      <c r="E42" s="13" t="s">
        <v>24</v>
      </c>
      <c r="F42" s="13" t="s">
        <v>20</v>
      </c>
      <c r="G42" s="13" t="s">
        <v>13</v>
      </c>
      <c r="H42" s="15">
        <v>48</v>
      </c>
      <c r="I42" s="14">
        <v>3049.04</v>
      </c>
      <c r="J42" s="14">
        <f>PRODUCT(Table1[[#This Row],[Quantity_Sold]],Table1[[#This Row],[Unit_Price]])</f>
        <v>146353.91999999998</v>
      </c>
    </row>
    <row r="43" spans="1:10" x14ac:dyDescent="0.35">
      <c r="A43" s="15">
        <v>1035</v>
      </c>
      <c r="B43" s="16">
        <v>44988</v>
      </c>
      <c r="C43" s="13" t="s">
        <v>9</v>
      </c>
      <c r="D43" s="13" t="s">
        <v>22</v>
      </c>
      <c r="E43" s="13" t="s">
        <v>24</v>
      </c>
      <c r="F43" s="13" t="s">
        <v>16</v>
      </c>
      <c r="G43" s="13" t="s">
        <v>23</v>
      </c>
      <c r="H43" s="15">
        <v>47</v>
      </c>
      <c r="I43" s="14">
        <v>3096.64</v>
      </c>
      <c r="J43" s="14">
        <f>PRODUCT(Table1[[#This Row],[Quantity_Sold]],Table1[[#This Row],[Unit_Price]])</f>
        <v>145542.07999999999</v>
      </c>
    </row>
    <row r="44" spans="1:10" x14ac:dyDescent="0.35">
      <c r="A44" s="15">
        <v>1002</v>
      </c>
      <c r="B44" s="16">
        <v>45219</v>
      </c>
      <c r="C44" s="13" t="s">
        <v>14</v>
      </c>
      <c r="D44" s="13" t="s">
        <v>21</v>
      </c>
      <c r="E44" s="13" t="s">
        <v>11</v>
      </c>
      <c r="F44" s="13" t="s">
        <v>20</v>
      </c>
      <c r="G44" s="13" t="s">
        <v>13</v>
      </c>
      <c r="H44" s="15">
        <v>30</v>
      </c>
      <c r="I44" s="14">
        <v>4784.28</v>
      </c>
      <c r="J44" s="14">
        <f>PRODUCT(Table1[[#This Row],[Quantity_Sold]],Table1[[#This Row],[Unit_Price]])</f>
        <v>143528.4</v>
      </c>
    </row>
    <row r="45" spans="1:10" x14ac:dyDescent="0.35">
      <c r="A45" s="15">
        <v>1089</v>
      </c>
      <c r="B45" s="16">
        <v>45103</v>
      </c>
      <c r="C45" s="13" t="s">
        <v>17</v>
      </c>
      <c r="D45" s="13" t="s">
        <v>10</v>
      </c>
      <c r="E45" s="13" t="s">
        <v>24</v>
      </c>
      <c r="F45" s="13" t="s">
        <v>12</v>
      </c>
      <c r="G45" s="13" t="s">
        <v>23</v>
      </c>
      <c r="H45" s="15">
        <v>35</v>
      </c>
      <c r="I45" s="14">
        <v>4082.11</v>
      </c>
      <c r="J45" s="14">
        <f>PRODUCT(Table1[[#This Row],[Quantity_Sold]],Table1[[#This Row],[Unit_Price]])</f>
        <v>142873.85</v>
      </c>
    </row>
    <row r="46" spans="1:10" x14ac:dyDescent="0.35">
      <c r="A46" s="15">
        <v>1048</v>
      </c>
      <c r="B46" s="16">
        <v>45214</v>
      </c>
      <c r="C46" s="13" t="s">
        <v>19</v>
      </c>
      <c r="D46" s="13" t="s">
        <v>22</v>
      </c>
      <c r="E46" s="13" t="s">
        <v>11</v>
      </c>
      <c r="F46" s="13" t="s">
        <v>20</v>
      </c>
      <c r="G46" s="13" t="s">
        <v>13</v>
      </c>
      <c r="H46" s="15">
        <v>42</v>
      </c>
      <c r="I46" s="14">
        <v>3349.37</v>
      </c>
      <c r="J46" s="14">
        <f>PRODUCT(Table1[[#This Row],[Quantity_Sold]],Table1[[#This Row],[Unit_Price]])</f>
        <v>140673.54</v>
      </c>
    </row>
    <row r="47" spans="1:10" x14ac:dyDescent="0.35">
      <c r="A47" s="15">
        <v>1097</v>
      </c>
      <c r="B47" s="16">
        <v>45225</v>
      </c>
      <c r="C47" s="13" t="s">
        <v>18</v>
      </c>
      <c r="D47" s="13" t="s">
        <v>22</v>
      </c>
      <c r="E47" s="13" t="s">
        <v>11</v>
      </c>
      <c r="F47" s="13" t="s">
        <v>20</v>
      </c>
      <c r="G47" s="13" t="s">
        <v>13</v>
      </c>
      <c r="H47" s="15">
        <v>27</v>
      </c>
      <c r="I47" s="14">
        <v>5046.51</v>
      </c>
      <c r="J47" s="14">
        <f>PRODUCT(Table1[[#This Row],[Quantity_Sold]],Table1[[#This Row],[Unit_Price]])</f>
        <v>136255.77000000002</v>
      </c>
    </row>
    <row r="48" spans="1:10" x14ac:dyDescent="0.35">
      <c r="A48" s="15">
        <v>1099</v>
      </c>
      <c r="B48" s="16">
        <v>45030</v>
      </c>
      <c r="C48" s="13" t="s">
        <v>18</v>
      </c>
      <c r="D48" s="13" t="s">
        <v>15</v>
      </c>
      <c r="E48" s="13" t="s">
        <v>11</v>
      </c>
      <c r="F48" s="13" t="s">
        <v>20</v>
      </c>
      <c r="G48" s="13" t="s">
        <v>23</v>
      </c>
      <c r="H48" s="15">
        <v>27</v>
      </c>
      <c r="I48" s="14">
        <v>4990.33</v>
      </c>
      <c r="J48" s="14">
        <f>PRODUCT(Table1[[#This Row],[Quantity_Sold]],Table1[[#This Row],[Unit_Price]])</f>
        <v>134738.91</v>
      </c>
    </row>
    <row r="49" spans="1:10" x14ac:dyDescent="0.35">
      <c r="A49" s="15">
        <v>1073</v>
      </c>
      <c r="B49" s="16">
        <v>45220</v>
      </c>
      <c r="C49" s="13" t="s">
        <v>18</v>
      </c>
      <c r="D49" s="13" t="s">
        <v>10</v>
      </c>
      <c r="E49" s="13" t="s">
        <v>24</v>
      </c>
      <c r="F49" s="13" t="s">
        <v>12</v>
      </c>
      <c r="G49" s="13" t="s">
        <v>23</v>
      </c>
      <c r="H49" s="15">
        <v>45</v>
      </c>
      <c r="I49" s="14">
        <v>2958.55</v>
      </c>
      <c r="J49" s="14">
        <f>PRODUCT(Table1[[#This Row],[Quantity_Sold]],Table1[[#This Row],[Unit_Price]])</f>
        <v>133134.75</v>
      </c>
    </row>
    <row r="50" spans="1:10" x14ac:dyDescent="0.35">
      <c r="A50" s="15">
        <v>1059</v>
      </c>
      <c r="B50" s="16">
        <v>45169</v>
      </c>
      <c r="C50" s="13" t="s">
        <v>18</v>
      </c>
      <c r="D50" s="13" t="s">
        <v>15</v>
      </c>
      <c r="E50" s="13" t="s">
        <v>11</v>
      </c>
      <c r="F50" s="13" t="s">
        <v>20</v>
      </c>
      <c r="G50" s="13" t="s">
        <v>23</v>
      </c>
      <c r="H50" s="15">
        <v>35</v>
      </c>
      <c r="I50" s="14">
        <v>3764.52</v>
      </c>
      <c r="J50" s="14">
        <f>PRODUCT(Table1[[#This Row],[Quantity_Sold]],Table1[[#This Row],[Unit_Price]])</f>
        <v>131758.20000000001</v>
      </c>
    </row>
    <row r="51" spans="1:10" x14ac:dyDescent="0.35">
      <c r="A51" s="15">
        <v>1028</v>
      </c>
      <c r="B51" s="16">
        <v>45142</v>
      </c>
      <c r="C51" s="13" t="s">
        <v>18</v>
      </c>
      <c r="D51" s="13" t="s">
        <v>21</v>
      </c>
      <c r="E51" s="13" t="s">
        <v>24</v>
      </c>
      <c r="F51" s="13" t="s">
        <v>12</v>
      </c>
      <c r="G51" s="13" t="s">
        <v>23</v>
      </c>
      <c r="H51" s="15">
        <v>38</v>
      </c>
      <c r="I51" s="14">
        <v>3449.94</v>
      </c>
      <c r="J51" s="14">
        <f>PRODUCT(Table1[[#This Row],[Quantity_Sold]],Table1[[#This Row],[Unit_Price]])</f>
        <v>131097.72</v>
      </c>
    </row>
    <row r="52" spans="1:10" x14ac:dyDescent="0.35">
      <c r="A52" s="15">
        <v>1070</v>
      </c>
      <c r="B52" s="16">
        <v>45256</v>
      </c>
      <c r="C52" s="13" t="s">
        <v>14</v>
      </c>
      <c r="D52" s="13" t="s">
        <v>10</v>
      </c>
      <c r="E52" s="13" t="s">
        <v>24</v>
      </c>
      <c r="F52" s="13" t="s">
        <v>12</v>
      </c>
      <c r="G52" s="13" t="s">
        <v>23</v>
      </c>
      <c r="H52" s="15">
        <v>40</v>
      </c>
      <c r="I52" s="14">
        <v>3258.45</v>
      </c>
      <c r="J52" s="14">
        <f>PRODUCT(Table1[[#This Row],[Quantity_Sold]],Table1[[#This Row],[Unit_Price]])</f>
        <v>130338</v>
      </c>
    </row>
    <row r="53" spans="1:10" x14ac:dyDescent="0.35">
      <c r="A53" s="15">
        <v>1096</v>
      </c>
      <c r="B53" s="16">
        <v>45012</v>
      </c>
      <c r="C53" s="13" t="s">
        <v>18</v>
      </c>
      <c r="D53" s="13" t="s">
        <v>21</v>
      </c>
      <c r="E53" s="13" t="s">
        <v>24</v>
      </c>
      <c r="F53" s="13" t="s">
        <v>20</v>
      </c>
      <c r="G53" s="13" t="s">
        <v>23</v>
      </c>
      <c r="H53" s="15">
        <v>48</v>
      </c>
      <c r="I53" s="14">
        <v>2714.12</v>
      </c>
      <c r="J53" s="14">
        <f>PRODUCT(Table1[[#This Row],[Quantity_Sold]],Table1[[#This Row],[Unit_Price]])</f>
        <v>130277.75999999999</v>
      </c>
    </row>
    <row r="54" spans="1:10" x14ac:dyDescent="0.35">
      <c r="A54" s="15">
        <v>1009</v>
      </c>
      <c r="B54" s="16">
        <v>45060</v>
      </c>
      <c r="C54" s="13" t="s">
        <v>14</v>
      </c>
      <c r="D54" s="13" t="s">
        <v>10</v>
      </c>
      <c r="E54" s="13" t="s">
        <v>11</v>
      </c>
      <c r="F54" s="13" t="s">
        <v>20</v>
      </c>
      <c r="G54" s="13" t="s">
        <v>13</v>
      </c>
      <c r="H54" s="15">
        <v>40</v>
      </c>
      <c r="I54" s="14">
        <v>3231.08</v>
      </c>
      <c r="J54" s="14">
        <f>PRODUCT(Table1[[#This Row],[Quantity_Sold]],Table1[[#This Row],[Unit_Price]])</f>
        <v>129243.2</v>
      </c>
    </row>
    <row r="55" spans="1:10" x14ac:dyDescent="0.35">
      <c r="A55" s="15">
        <v>1016</v>
      </c>
      <c r="B55" s="16">
        <v>45253</v>
      </c>
      <c r="C55" s="13" t="s">
        <v>17</v>
      </c>
      <c r="D55" s="13" t="s">
        <v>21</v>
      </c>
      <c r="E55" s="13" t="s">
        <v>24</v>
      </c>
      <c r="F55" s="13" t="s">
        <v>16</v>
      </c>
      <c r="G55" s="13" t="s">
        <v>23</v>
      </c>
      <c r="H55" s="15">
        <v>26</v>
      </c>
      <c r="I55" s="14">
        <v>4954.3900000000003</v>
      </c>
      <c r="J55" s="14">
        <f>PRODUCT(Table1[[#This Row],[Quantity_Sold]],Table1[[#This Row],[Unit_Price]])</f>
        <v>128814.14000000001</v>
      </c>
    </row>
    <row r="56" spans="1:10" x14ac:dyDescent="0.35">
      <c r="A56" s="15">
        <v>1096</v>
      </c>
      <c r="B56" s="16">
        <v>45140</v>
      </c>
      <c r="C56" s="13" t="s">
        <v>9</v>
      </c>
      <c r="D56" s="13" t="s">
        <v>22</v>
      </c>
      <c r="E56" s="13" t="s">
        <v>11</v>
      </c>
      <c r="F56" s="13" t="s">
        <v>16</v>
      </c>
      <c r="G56" s="13" t="s">
        <v>13</v>
      </c>
      <c r="H56" s="15">
        <v>30</v>
      </c>
      <c r="I56" s="14">
        <v>4281.79</v>
      </c>
      <c r="J56" s="14">
        <f>PRODUCT(Table1[[#This Row],[Quantity_Sold]],Table1[[#This Row],[Unit_Price]])</f>
        <v>128453.7</v>
      </c>
    </row>
    <row r="57" spans="1:10" x14ac:dyDescent="0.35">
      <c r="A57" s="15">
        <v>1086</v>
      </c>
      <c r="B57" s="16">
        <v>45291</v>
      </c>
      <c r="C57" s="13" t="s">
        <v>18</v>
      </c>
      <c r="D57" s="13" t="s">
        <v>21</v>
      </c>
      <c r="E57" s="13" t="s">
        <v>11</v>
      </c>
      <c r="F57" s="13" t="s">
        <v>12</v>
      </c>
      <c r="G57" s="13" t="s">
        <v>13</v>
      </c>
      <c r="H57" s="15">
        <v>33</v>
      </c>
      <c r="I57" s="14">
        <v>3890.36</v>
      </c>
      <c r="J57" s="14">
        <f>PRODUCT(Table1[[#This Row],[Quantity_Sold]],Table1[[#This Row],[Unit_Price]])</f>
        <v>128381.88</v>
      </c>
    </row>
    <row r="58" spans="1:10" x14ac:dyDescent="0.35">
      <c r="A58" s="15">
        <v>1003</v>
      </c>
      <c r="B58" s="16">
        <v>45291</v>
      </c>
      <c r="C58" s="13" t="s">
        <v>18</v>
      </c>
      <c r="D58" s="13" t="s">
        <v>10</v>
      </c>
      <c r="E58" s="13" t="s">
        <v>24</v>
      </c>
      <c r="F58" s="13" t="s">
        <v>12</v>
      </c>
      <c r="G58" s="13" t="s">
        <v>23</v>
      </c>
      <c r="H58" s="15">
        <v>30</v>
      </c>
      <c r="I58" s="14">
        <v>4270.6499999999996</v>
      </c>
      <c r="J58" s="14">
        <f>PRODUCT(Table1[[#This Row],[Quantity_Sold]],Table1[[#This Row],[Unit_Price]])</f>
        <v>128119.49999999999</v>
      </c>
    </row>
    <row r="59" spans="1:10" x14ac:dyDescent="0.35">
      <c r="A59" s="15">
        <v>1037</v>
      </c>
      <c r="B59" s="16">
        <v>44949</v>
      </c>
      <c r="C59" s="13" t="s">
        <v>9</v>
      </c>
      <c r="D59" s="13" t="s">
        <v>21</v>
      </c>
      <c r="E59" s="13" t="s">
        <v>11</v>
      </c>
      <c r="F59" s="13" t="s">
        <v>16</v>
      </c>
      <c r="G59" s="13" t="s">
        <v>23</v>
      </c>
      <c r="H59" s="15">
        <v>40</v>
      </c>
      <c r="I59" s="14">
        <v>3192.37</v>
      </c>
      <c r="J59" s="14">
        <f>PRODUCT(Table1[[#This Row],[Quantity_Sold]],Table1[[#This Row],[Unit_Price]])</f>
        <v>127694.79999999999</v>
      </c>
    </row>
    <row r="60" spans="1:10" x14ac:dyDescent="0.35">
      <c r="A60" s="15">
        <v>1044</v>
      </c>
      <c r="B60" s="16">
        <v>45036</v>
      </c>
      <c r="C60" s="13" t="s">
        <v>19</v>
      </c>
      <c r="D60" s="13" t="s">
        <v>15</v>
      </c>
      <c r="E60" s="13" t="s">
        <v>11</v>
      </c>
      <c r="F60" s="13" t="s">
        <v>20</v>
      </c>
      <c r="G60" s="13" t="s">
        <v>23</v>
      </c>
      <c r="H60" s="15">
        <v>34</v>
      </c>
      <c r="I60" s="14">
        <v>3740.13</v>
      </c>
      <c r="J60" s="14">
        <f>PRODUCT(Table1[[#This Row],[Quantity_Sold]],Table1[[#This Row],[Unit_Price]])</f>
        <v>127164.42</v>
      </c>
    </row>
    <row r="61" spans="1:10" x14ac:dyDescent="0.35">
      <c r="A61" s="15">
        <v>1090</v>
      </c>
      <c r="B61" s="16">
        <v>45183</v>
      </c>
      <c r="C61" s="13" t="s">
        <v>19</v>
      </c>
      <c r="D61" s="13" t="s">
        <v>21</v>
      </c>
      <c r="E61" s="13" t="s">
        <v>24</v>
      </c>
      <c r="F61" s="13" t="s">
        <v>16</v>
      </c>
      <c r="G61" s="13" t="s">
        <v>23</v>
      </c>
      <c r="H61" s="15">
        <v>47</v>
      </c>
      <c r="I61" s="14">
        <v>2693.33</v>
      </c>
      <c r="J61" s="14">
        <f>PRODUCT(Table1[[#This Row],[Quantity_Sold]],Table1[[#This Row],[Unit_Price]])</f>
        <v>126586.51</v>
      </c>
    </row>
    <row r="62" spans="1:10" x14ac:dyDescent="0.35">
      <c r="A62" s="15">
        <v>1020</v>
      </c>
      <c r="B62" s="16">
        <v>45177</v>
      </c>
      <c r="C62" s="13" t="s">
        <v>17</v>
      </c>
      <c r="D62" s="13" t="s">
        <v>21</v>
      </c>
      <c r="E62" s="13" t="s">
        <v>24</v>
      </c>
      <c r="F62" s="13" t="s">
        <v>20</v>
      </c>
      <c r="G62" s="13" t="s">
        <v>13</v>
      </c>
      <c r="H62" s="15">
        <v>26</v>
      </c>
      <c r="I62" s="14">
        <v>4770.42</v>
      </c>
      <c r="J62" s="14">
        <f>PRODUCT(Table1[[#This Row],[Quantity_Sold]],Table1[[#This Row],[Unit_Price]])</f>
        <v>124030.92</v>
      </c>
    </row>
    <row r="63" spans="1:10" x14ac:dyDescent="0.35">
      <c r="A63" s="15">
        <v>1062</v>
      </c>
      <c r="B63" s="16">
        <v>45021</v>
      </c>
      <c r="C63" s="13" t="s">
        <v>9</v>
      </c>
      <c r="D63" s="13" t="s">
        <v>15</v>
      </c>
      <c r="E63" s="13" t="s">
        <v>24</v>
      </c>
      <c r="F63" s="13" t="s">
        <v>12</v>
      </c>
      <c r="G63" s="13" t="s">
        <v>23</v>
      </c>
      <c r="H63" s="15">
        <v>48</v>
      </c>
      <c r="I63" s="14">
        <v>2521.4499999999998</v>
      </c>
      <c r="J63" s="14">
        <f>PRODUCT(Table1[[#This Row],[Quantity_Sold]],Table1[[#This Row],[Unit_Price]])</f>
        <v>121029.59999999999</v>
      </c>
    </row>
    <row r="64" spans="1:10" x14ac:dyDescent="0.35">
      <c r="A64" s="15">
        <v>1014</v>
      </c>
      <c r="B64" s="16">
        <v>44968</v>
      </c>
      <c r="C64" s="13" t="s">
        <v>14</v>
      </c>
      <c r="D64" s="13" t="s">
        <v>15</v>
      </c>
      <c r="E64" s="13" t="s">
        <v>11</v>
      </c>
      <c r="F64" s="13" t="s">
        <v>12</v>
      </c>
      <c r="G64" s="13" t="s">
        <v>23</v>
      </c>
      <c r="H64" s="15">
        <v>44</v>
      </c>
      <c r="I64" s="14">
        <v>2747.81</v>
      </c>
      <c r="J64" s="14">
        <f>PRODUCT(Table1[[#This Row],[Quantity_Sold]],Table1[[#This Row],[Unit_Price]])</f>
        <v>120903.64</v>
      </c>
    </row>
    <row r="65" spans="1:10" x14ac:dyDescent="0.35">
      <c r="A65" s="15">
        <v>1092</v>
      </c>
      <c r="B65" s="16">
        <v>45010</v>
      </c>
      <c r="C65" s="13" t="s">
        <v>18</v>
      </c>
      <c r="D65" s="13" t="s">
        <v>10</v>
      </c>
      <c r="E65" s="13" t="s">
        <v>24</v>
      </c>
      <c r="F65" s="13" t="s">
        <v>16</v>
      </c>
      <c r="G65" s="13" t="s">
        <v>13</v>
      </c>
      <c r="H65" s="15">
        <v>49</v>
      </c>
      <c r="I65" s="14">
        <v>2467.2800000000002</v>
      </c>
      <c r="J65" s="14">
        <f>PRODUCT(Table1[[#This Row],[Quantity_Sold]],Table1[[#This Row],[Unit_Price]])</f>
        <v>120896.72000000002</v>
      </c>
    </row>
    <row r="66" spans="1:10" x14ac:dyDescent="0.35">
      <c r="A66" s="15">
        <v>1047</v>
      </c>
      <c r="B66" s="16">
        <v>45016</v>
      </c>
      <c r="C66" s="13" t="s">
        <v>18</v>
      </c>
      <c r="D66" s="13" t="s">
        <v>22</v>
      </c>
      <c r="E66" s="13" t="s">
        <v>11</v>
      </c>
      <c r="F66" s="13" t="s">
        <v>20</v>
      </c>
      <c r="G66" s="13" t="s">
        <v>23</v>
      </c>
      <c r="H66" s="15">
        <v>37</v>
      </c>
      <c r="I66" s="14">
        <v>3256.78</v>
      </c>
      <c r="J66" s="14">
        <f>PRODUCT(Table1[[#This Row],[Quantity_Sold]],Table1[[#This Row],[Unit_Price]])</f>
        <v>120500.86</v>
      </c>
    </row>
    <row r="67" spans="1:10" x14ac:dyDescent="0.35">
      <c r="A67" s="15">
        <v>1073</v>
      </c>
      <c r="B67" s="16">
        <v>45261</v>
      </c>
      <c r="C67" s="13" t="s">
        <v>14</v>
      </c>
      <c r="D67" s="13" t="s">
        <v>10</v>
      </c>
      <c r="E67" s="13" t="s">
        <v>11</v>
      </c>
      <c r="F67" s="13" t="s">
        <v>20</v>
      </c>
      <c r="G67" s="13" t="s">
        <v>13</v>
      </c>
      <c r="H67" s="15">
        <v>40</v>
      </c>
      <c r="I67" s="14">
        <v>3007.47</v>
      </c>
      <c r="J67" s="14">
        <f>PRODUCT(Table1[[#This Row],[Quantity_Sold]],Table1[[#This Row],[Unit_Price]])</f>
        <v>120298.79999999999</v>
      </c>
    </row>
    <row r="68" spans="1:10" x14ac:dyDescent="0.35">
      <c r="A68" s="15">
        <v>1089</v>
      </c>
      <c r="B68" s="16">
        <v>45193</v>
      </c>
      <c r="C68" s="13" t="s">
        <v>9</v>
      </c>
      <c r="D68" s="13" t="s">
        <v>15</v>
      </c>
      <c r="E68" s="13" t="s">
        <v>24</v>
      </c>
      <c r="F68" s="13" t="s">
        <v>12</v>
      </c>
      <c r="G68" s="13" t="s">
        <v>13</v>
      </c>
      <c r="H68" s="15">
        <v>48</v>
      </c>
      <c r="I68" s="14">
        <v>2486.14</v>
      </c>
      <c r="J68" s="14">
        <f>PRODUCT(Table1[[#This Row],[Quantity_Sold]],Table1[[#This Row],[Unit_Price]])</f>
        <v>119334.72</v>
      </c>
    </row>
    <row r="69" spans="1:10" x14ac:dyDescent="0.35">
      <c r="A69" s="15">
        <v>1056</v>
      </c>
      <c r="B69" s="16">
        <v>45063</v>
      </c>
      <c r="C69" s="13" t="s">
        <v>14</v>
      </c>
      <c r="D69" s="13" t="s">
        <v>10</v>
      </c>
      <c r="E69" s="13" t="s">
        <v>11</v>
      </c>
      <c r="F69" s="13" t="s">
        <v>12</v>
      </c>
      <c r="G69" s="13" t="s">
        <v>13</v>
      </c>
      <c r="H69" s="15">
        <v>47</v>
      </c>
      <c r="I69" s="14">
        <v>2529.02</v>
      </c>
      <c r="J69" s="14">
        <f>PRODUCT(Table1[[#This Row],[Quantity_Sold]],Table1[[#This Row],[Unit_Price]])</f>
        <v>118863.94</v>
      </c>
    </row>
    <row r="70" spans="1:10" x14ac:dyDescent="0.35">
      <c r="A70" s="15">
        <v>1081</v>
      </c>
      <c r="B70" s="16">
        <v>44964</v>
      </c>
      <c r="C70" s="13" t="s">
        <v>14</v>
      </c>
      <c r="D70" s="13" t="s">
        <v>10</v>
      </c>
      <c r="E70" s="13" t="s">
        <v>24</v>
      </c>
      <c r="F70" s="13" t="s">
        <v>16</v>
      </c>
      <c r="G70" s="13" t="s">
        <v>23</v>
      </c>
      <c r="H70" s="15">
        <v>41</v>
      </c>
      <c r="I70" s="14">
        <v>2879.24</v>
      </c>
      <c r="J70" s="14">
        <f>PRODUCT(Table1[[#This Row],[Quantity_Sold]],Table1[[#This Row],[Unit_Price]])</f>
        <v>118048.84</v>
      </c>
    </row>
    <row r="71" spans="1:10" x14ac:dyDescent="0.35">
      <c r="A71" s="15">
        <v>1053</v>
      </c>
      <c r="B71" s="16">
        <v>45201</v>
      </c>
      <c r="C71" s="13" t="s">
        <v>14</v>
      </c>
      <c r="D71" s="13" t="s">
        <v>22</v>
      </c>
      <c r="E71" s="13" t="s">
        <v>11</v>
      </c>
      <c r="F71" s="13" t="s">
        <v>20</v>
      </c>
      <c r="G71" s="13" t="s">
        <v>23</v>
      </c>
      <c r="H71" s="15">
        <v>29</v>
      </c>
      <c r="I71" s="14">
        <v>4061.04</v>
      </c>
      <c r="J71" s="14">
        <f>PRODUCT(Table1[[#This Row],[Quantity_Sold]],Table1[[#This Row],[Unit_Price]])</f>
        <v>117770.16</v>
      </c>
    </row>
    <row r="72" spans="1:10" x14ac:dyDescent="0.35">
      <c r="A72" s="15">
        <v>1054</v>
      </c>
      <c r="B72" s="16">
        <v>44936</v>
      </c>
      <c r="C72" s="13" t="s">
        <v>17</v>
      </c>
      <c r="D72" s="13" t="s">
        <v>10</v>
      </c>
      <c r="E72" s="13" t="s">
        <v>11</v>
      </c>
      <c r="F72" s="13" t="s">
        <v>12</v>
      </c>
      <c r="G72" s="13" t="s">
        <v>23</v>
      </c>
      <c r="H72" s="15">
        <v>40</v>
      </c>
      <c r="I72" s="14">
        <v>2929.32</v>
      </c>
      <c r="J72" s="14">
        <f>PRODUCT(Table1[[#This Row],[Quantity_Sold]],Table1[[#This Row],[Unit_Price]])</f>
        <v>117172.8</v>
      </c>
    </row>
    <row r="73" spans="1:10" x14ac:dyDescent="0.35">
      <c r="A73" s="15">
        <v>1001</v>
      </c>
      <c r="B73" s="16">
        <v>45060</v>
      </c>
      <c r="C73" s="13" t="s">
        <v>17</v>
      </c>
      <c r="D73" s="13" t="s">
        <v>22</v>
      </c>
      <c r="E73" s="13" t="s">
        <v>24</v>
      </c>
      <c r="F73" s="13" t="s">
        <v>16</v>
      </c>
      <c r="G73" s="13" t="s">
        <v>23</v>
      </c>
      <c r="H73" s="15">
        <v>35</v>
      </c>
      <c r="I73" s="14">
        <v>3244.76</v>
      </c>
      <c r="J73" s="14">
        <f>PRODUCT(Table1[[#This Row],[Quantity_Sold]],Table1[[#This Row],[Unit_Price]])</f>
        <v>113566.6</v>
      </c>
    </row>
    <row r="74" spans="1:10" x14ac:dyDescent="0.35">
      <c r="A74" s="15">
        <v>1076</v>
      </c>
      <c r="B74" s="16">
        <v>45276</v>
      </c>
      <c r="C74" s="13" t="s">
        <v>17</v>
      </c>
      <c r="D74" s="13" t="s">
        <v>21</v>
      </c>
      <c r="E74" s="13" t="s">
        <v>24</v>
      </c>
      <c r="F74" s="13" t="s">
        <v>20</v>
      </c>
      <c r="G74" s="13" t="s">
        <v>13</v>
      </c>
      <c r="H74" s="15">
        <v>30</v>
      </c>
      <c r="I74" s="14">
        <v>3774.65</v>
      </c>
      <c r="J74" s="14">
        <f>PRODUCT(Table1[[#This Row],[Quantity_Sold]],Table1[[#This Row],[Unit_Price]])</f>
        <v>113239.5</v>
      </c>
    </row>
    <row r="75" spans="1:10" x14ac:dyDescent="0.35">
      <c r="A75" s="15">
        <v>1001</v>
      </c>
      <c r="B75" s="16">
        <v>45183</v>
      </c>
      <c r="C75" s="13" t="s">
        <v>17</v>
      </c>
      <c r="D75" s="13" t="s">
        <v>15</v>
      </c>
      <c r="E75" s="13" t="s">
        <v>11</v>
      </c>
      <c r="F75" s="13" t="s">
        <v>12</v>
      </c>
      <c r="G75" s="13" t="s">
        <v>23</v>
      </c>
      <c r="H75" s="15">
        <v>39</v>
      </c>
      <c r="I75" s="14">
        <v>2889.67</v>
      </c>
      <c r="J75" s="14">
        <f>PRODUCT(Table1[[#This Row],[Quantity_Sold]],Table1[[#This Row],[Unit_Price]])</f>
        <v>112697.13</v>
      </c>
    </row>
    <row r="76" spans="1:10" x14ac:dyDescent="0.35">
      <c r="A76" s="15">
        <v>1036</v>
      </c>
      <c r="B76" s="16">
        <v>45044</v>
      </c>
      <c r="C76" s="13" t="s">
        <v>19</v>
      </c>
      <c r="D76" s="13" t="s">
        <v>10</v>
      </c>
      <c r="E76" s="13" t="s">
        <v>11</v>
      </c>
      <c r="F76" s="13" t="s">
        <v>16</v>
      </c>
      <c r="G76" s="13" t="s">
        <v>23</v>
      </c>
      <c r="H76" s="15">
        <v>25</v>
      </c>
      <c r="I76" s="14">
        <v>4446.45</v>
      </c>
      <c r="J76" s="14">
        <f>PRODUCT(Table1[[#This Row],[Quantity_Sold]],Table1[[#This Row],[Unit_Price]])</f>
        <v>111161.25</v>
      </c>
    </row>
    <row r="77" spans="1:10" x14ac:dyDescent="0.35">
      <c r="A77" s="15">
        <v>1042</v>
      </c>
      <c r="B77" s="16">
        <v>44941</v>
      </c>
      <c r="C77" s="13" t="s">
        <v>14</v>
      </c>
      <c r="D77" s="13" t="s">
        <v>10</v>
      </c>
      <c r="E77" s="13" t="s">
        <v>24</v>
      </c>
      <c r="F77" s="13" t="s">
        <v>12</v>
      </c>
      <c r="G77" s="13" t="s">
        <v>13</v>
      </c>
      <c r="H77" s="15">
        <v>46</v>
      </c>
      <c r="I77" s="14">
        <v>2367.11</v>
      </c>
      <c r="J77" s="14">
        <f>PRODUCT(Table1[[#This Row],[Quantity_Sold]],Table1[[#This Row],[Unit_Price]])</f>
        <v>108887.06000000001</v>
      </c>
    </row>
    <row r="78" spans="1:10" x14ac:dyDescent="0.35">
      <c r="A78" s="15">
        <v>1004</v>
      </c>
      <c r="B78" s="16">
        <v>45099</v>
      </c>
      <c r="C78" s="13" t="s">
        <v>17</v>
      </c>
      <c r="D78" s="13" t="s">
        <v>22</v>
      </c>
      <c r="E78" s="13" t="s">
        <v>11</v>
      </c>
      <c r="F78" s="13" t="s">
        <v>12</v>
      </c>
      <c r="G78" s="13" t="s">
        <v>23</v>
      </c>
      <c r="H78" s="15">
        <v>39</v>
      </c>
      <c r="I78" s="14">
        <v>2778.4</v>
      </c>
      <c r="J78" s="14">
        <f>PRODUCT(Table1[[#This Row],[Quantity_Sold]],Table1[[#This Row],[Unit_Price]])</f>
        <v>108357.6</v>
      </c>
    </row>
    <row r="79" spans="1:10" x14ac:dyDescent="0.35">
      <c r="A79" s="15">
        <v>1074</v>
      </c>
      <c r="B79" s="16">
        <v>45010</v>
      </c>
      <c r="C79" s="13" t="s">
        <v>17</v>
      </c>
      <c r="D79" s="13" t="s">
        <v>15</v>
      </c>
      <c r="E79" s="13" t="s">
        <v>11</v>
      </c>
      <c r="F79" s="13" t="s">
        <v>20</v>
      </c>
      <c r="G79" s="13" t="s">
        <v>23</v>
      </c>
      <c r="H79" s="15">
        <v>38</v>
      </c>
      <c r="I79" s="14">
        <v>2836.94</v>
      </c>
      <c r="J79" s="14">
        <f>PRODUCT(Table1[[#This Row],[Quantity_Sold]],Table1[[#This Row],[Unit_Price]])</f>
        <v>107803.72</v>
      </c>
    </row>
    <row r="80" spans="1:10" x14ac:dyDescent="0.35">
      <c r="A80" s="15">
        <v>1024</v>
      </c>
      <c r="B80" s="16">
        <v>45002</v>
      </c>
      <c r="C80" s="13" t="s">
        <v>17</v>
      </c>
      <c r="D80" s="13" t="s">
        <v>22</v>
      </c>
      <c r="E80" s="13" t="s">
        <v>11</v>
      </c>
      <c r="F80" s="13" t="s">
        <v>16</v>
      </c>
      <c r="G80" s="13" t="s">
        <v>13</v>
      </c>
      <c r="H80" s="15">
        <v>46</v>
      </c>
      <c r="I80" s="14">
        <v>2338.66</v>
      </c>
      <c r="J80" s="14">
        <f>PRODUCT(Table1[[#This Row],[Quantity_Sold]],Table1[[#This Row],[Unit_Price]])</f>
        <v>107578.35999999999</v>
      </c>
    </row>
    <row r="81" spans="1:10" x14ac:dyDescent="0.35">
      <c r="A81" s="15">
        <v>1099</v>
      </c>
      <c r="B81" s="16">
        <v>45286</v>
      </c>
      <c r="C81" s="13" t="s">
        <v>17</v>
      </c>
      <c r="D81" s="13" t="s">
        <v>22</v>
      </c>
      <c r="E81" s="13" t="s">
        <v>24</v>
      </c>
      <c r="F81" s="13" t="s">
        <v>16</v>
      </c>
      <c r="G81" s="13" t="s">
        <v>23</v>
      </c>
      <c r="H81" s="15">
        <v>25</v>
      </c>
      <c r="I81" s="14">
        <v>4293.6899999999996</v>
      </c>
      <c r="J81" s="14">
        <f>PRODUCT(Table1[[#This Row],[Quantity_Sold]],Table1[[#This Row],[Unit_Price]])</f>
        <v>107342.24999999999</v>
      </c>
    </row>
    <row r="82" spans="1:10" x14ac:dyDescent="0.35">
      <c r="A82" s="15">
        <v>1091</v>
      </c>
      <c r="B82" s="16">
        <v>45173</v>
      </c>
      <c r="C82" s="13" t="s">
        <v>19</v>
      </c>
      <c r="D82" s="13" t="s">
        <v>15</v>
      </c>
      <c r="E82" s="13" t="s">
        <v>11</v>
      </c>
      <c r="F82" s="13" t="s">
        <v>16</v>
      </c>
      <c r="G82" s="13" t="s">
        <v>13</v>
      </c>
      <c r="H82" s="15">
        <v>44</v>
      </c>
      <c r="I82" s="14">
        <v>2406.58</v>
      </c>
      <c r="J82" s="14">
        <f>PRODUCT(Table1[[#This Row],[Quantity_Sold]],Table1[[#This Row],[Unit_Price]])</f>
        <v>105889.51999999999</v>
      </c>
    </row>
    <row r="83" spans="1:10" x14ac:dyDescent="0.35">
      <c r="A83" s="15">
        <v>1054</v>
      </c>
      <c r="B83" s="16">
        <v>45087</v>
      </c>
      <c r="C83" s="13" t="s">
        <v>9</v>
      </c>
      <c r="D83" s="13" t="s">
        <v>10</v>
      </c>
      <c r="E83" s="13" t="s">
        <v>24</v>
      </c>
      <c r="F83" s="13" t="s">
        <v>16</v>
      </c>
      <c r="G83" s="13" t="s">
        <v>23</v>
      </c>
      <c r="H83" s="15">
        <v>21</v>
      </c>
      <c r="I83" s="14">
        <v>5040.22</v>
      </c>
      <c r="J83" s="14">
        <f>PRODUCT(Table1[[#This Row],[Quantity_Sold]],Table1[[#This Row],[Unit_Price]])</f>
        <v>105844.62000000001</v>
      </c>
    </row>
    <row r="84" spans="1:10" x14ac:dyDescent="0.35">
      <c r="A84" s="15">
        <v>1078</v>
      </c>
      <c r="B84" s="16">
        <v>45020</v>
      </c>
      <c r="C84" s="13" t="s">
        <v>14</v>
      </c>
      <c r="D84" s="13" t="s">
        <v>10</v>
      </c>
      <c r="E84" s="13" t="s">
        <v>11</v>
      </c>
      <c r="F84" s="13" t="s">
        <v>20</v>
      </c>
      <c r="G84" s="13" t="s">
        <v>13</v>
      </c>
      <c r="H84" s="15">
        <v>49</v>
      </c>
      <c r="I84" s="14">
        <v>2147.14</v>
      </c>
      <c r="J84" s="14">
        <f>PRODUCT(Table1[[#This Row],[Quantity_Sold]],Table1[[#This Row],[Unit_Price]])</f>
        <v>105209.86</v>
      </c>
    </row>
    <row r="85" spans="1:10" x14ac:dyDescent="0.35">
      <c r="A85" s="15">
        <v>1072</v>
      </c>
      <c r="B85" s="16">
        <v>44964</v>
      </c>
      <c r="C85" s="13" t="s">
        <v>9</v>
      </c>
      <c r="D85" s="13" t="s">
        <v>15</v>
      </c>
      <c r="E85" s="13" t="s">
        <v>24</v>
      </c>
      <c r="F85" s="13" t="s">
        <v>20</v>
      </c>
      <c r="G85" s="13" t="s">
        <v>13</v>
      </c>
      <c r="H85" s="15">
        <v>26</v>
      </c>
      <c r="I85" s="14">
        <v>4002.63</v>
      </c>
      <c r="J85" s="14">
        <f>PRODUCT(Table1[[#This Row],[Quantity_Sold]],Table1[[#This Row],[Unit_Price]])</f>
        <v>104068.38</v>
      </c>
    </row>
    <row r="86" spans="1:10" x14ac:dyDescent="0.35">
      <c r="A86" s="15">
        <v>1060</v>
      </c>
      <c r="B86" s="16">
        <v>45059</v>
      </c>
      <c r="C86" s="13" t="s">
        <v>19</v>
      </c>
      <c r="D86" s="13" t="s">
        <v>22</v>
      </c>
      <c r="E86" s="13" t="s">
        <v>11</v>
      </c>
      <c r="F86" s="13" t="s">
        <v>16</v>
      </c>
      <c r="G86" s="13" t="s">
        <v>23</v>
      </c>
      <c r="H86" s="15">
        <v>31</v>
      </c>
      <c r="I86" s="14">
        <v>3339.66</v>
      </c>
      <c r="J86" s="14">
        <f>PRODUCT(Table1[[#This Row],[Quantity_Sold]],Table1[[#This Row],[Unit_Price]])</f>
        <v>103529.45999999999</v>
      </c>
    </row>
    <row r="87" spans="1:10" x14ac:dyDescent="0.35">
      <c r="A87" s="15">
        <v>1060</v>
      </c>
      <c r="B87" s="16">
        <v>45039</v>
      </c>
      <c r="C87" s="13" t="s">
        <v>17</v>
      </c>
      <c r="D87" s="13" t="s">
        <v>21</v>
      </c>
      <c r="E87" s="13" t="s">
        <v>24</v>
      </c>
      <c r="F87" s="13" t="s">
        <v>20</v>
      </c>
      <c r="G87" s="13" t="s">
        <v>23</v>
      </c>
      <c r="H87" s="15">
        <v>23</v>
      </c>
      <c r="I87" s="14">
        <v>4488.37</v>
      </c>
      <c r="J87" s="14">
        <f>PRODUCT(Table1[[#This Row],[Quantity_Sold]],Table1[[#This Row],[Unit_Price]])</f>
        <v>103232.51</v>
      </c>
    </row>
    <row r="88" spans="1:10" x14ac:dyDescent="0.35">
      <c r="A88" s="15">
        <v>1088</v>
      </c>
      <c r="B88" s="16">
        <v>45279</v>
      </c>
      <c r="C88" s="13" t="s">
        <v>18</v>
      </c>
      <c r="D88" s="13" t="s">
        <v>21</v>
      </c>
      <c r="E88" s="13" t="s">
        <v>24</v>
      </c>
      <c r="F88" s="13" t="s">
        <v>16</v>
      </c>
      <c r="G88" s="13" t="s">
        <v>13</v>
      </c>
      <c r="H88" s="15">
        <v>20</v>
      </c>
      <c r="I88" s="14">
        <v>5088.28</v>
      </c>
      <c r="J88" s="14">
        <f>PRODUCT(Table1[[#This Row],[Quantity_Sold]],Table1[[#This Row],[Unit_Price]])</f>
        <v>101765.59999999999</v>
      </c>
    </row>
    <row r="89" spans="1:10" x14ac:dyDescent="0.35">
      <c r="A89" s="15">
        <v>1090</v>
      </c>
      <c r="B89" s="16">
        <v>45250</v>
      </c>
      <c r="C89" s="13" t="s">
        <v>18</v>
      </c>
      <c r="D89" s="13" t="s">
        <v>22</v>
      </c>
      <c r="E89" s="13" t="s">
        <v>11</v>
      </c>
      <c r="F89" s="13" t="s">
        <v>12</v>
      </c>
      <c r="G89" s="13" t="s">
        <v>13</v>
      </c>
      <c r="H89" s="15">
        <v>32</v>
      </c>
      <c r="I89" s="14">
        <v>3152.28</v>
      </c>
      <c r="J89" s="14">
        <f>PRODUCT(Table1[[#This Row],[Quantity_Sold]],Table1[[#This Row],[Unit_Price]])</f>
        <v>100872.96000000001</v>
      </c>
    </row>
    <row r="90" spans="1:10" x14ac:dyDescent="0.35">
      <c r="A90" s="15">
        <v>1015</v>
      </c>
      <c r="B90" s="16">
        <v>45191</v>
      </c>
      <c r="C90" s="13" t="s">
        <v>14</v>
      </c>
      <c r="D90" s="13" t="s">
        <v>22</v>
      </c>
      <c r="E90" s="13" t="s">
        <v>11</v>
      </c>
      <c r="F90" s="13" t="s">
        <v>12</v>
      </c>
      <c r="G90" s="13" t="s">
        <v>13</v>
      </c>
      <c r="H90" s="15">
        <v>22</v>
      </c>
      <c r="I90" s="14">
        <v>4576.72</v>
      </c>
      <c r="J90" s="14">
        <f>PRODUCT(Table1[[#This Row],[Quantity_Sold]],Table1[[#This Row],[Unit_Price]])</f>
        <v>100687.84000000001</v>
      </c>
    </row>
    <row r="91" spans="1:10" x14ac:dyDescent="0.35">
      <c r="A91" s="15">
        <v>1024</v>
      </c>
      <c r="B91" s="16">
        <v>45043</v>
      </c>
      <c r="C91" s="13" t="s">
        <v>18</v>
      </c>
      <c r="D91" s="13" t="s">
        <v>15</v>
      </c>
      <c r="E91" s="13" t="s">
        <v>11</v>
      </c>
      <c r="F91" s="13" t="s">
        <v>12</v>
      </c>
      <c r="G91" s="13" t="s">
        <v>23</v>
      </c>
      <c r="H91" s="15">
        <v>42</v>
      </c>
      <c r="I91" s="14">
        <v>2363.9</v>
      </c>
      <c r="J91" s="14">
        <f>PRODUCT(Table1[[#This Row],[Quantity_Sold]],Table1[[#This Row],[Unit_Price]])</f>
        <v>99283.8</v>
      </c>
    </row>
    <row r="92" spans="1:10" x14ac:dyDescent="0.35">
      <c r="A92" s="15">
        <v>1031</v>
      </c>
      <c r="B92" s="16">
        <v>45268</v>
      </c>
      <c r="C92" s="13" t="s">
        <v>14</v>
      </c>
      <c r="D92" s="13" t="s">
        <v>15</v>
      </c>
      <c r="E92" s="13" t="s">
        <v>24</v>
      </c>
      <c r="F92" s="13" t="s">
        <v>16</v>
      </c>
      <c r="G92" s="13" t="s">
        <v>23</v>
      </c>
      <c r="H92" s="15">
        <v>22</v>
      </c>
      <c r="I92" s="14">
        <v>4382.32</v>
      </c>
      <c r="J92" s="14">
        <f>PRODUCT(Table1[[#This Row],[Quantity_Sold]],Table1[[#This Row],[Unit_Price]])</f>
        <v>96411.04</v>
      </c>
    </row>
    <row r="93" spans="1:10" x14ac:dyDescent="0.35">
      <c r="A93" s="15">
        <v>1014</v>
      </c>
      <c r="B93" s="16">
        <v>45027</v>
      </c>
      <c r="C93" s="13" t="s">
        <v>18</v>
      </c>
      <c r="D93" s="13" t="s">
        <v>15</v>
      </c>
      <c r="E93" s="13" t="s">
        <v>11</v>
      </c>
      <c r="F93" s="13" t="s">
        <v>20</v>
      </c>
      <c r="G93" s="13" t="s">
        <v>23</v>
      </c>
      <c r="H93" s="15">
        <v>38</v>
      </c>
      <c r="I93" s="14">
        <v>2527</v>
      </c>
      <c r="J93" s="14">
        <f>PRODUCT(Table1[[#This Row],[Quantity_Sold]],Table1[[#This Row],[Unit_Price]])</f>
        <v>96026</v>
      </c>
    </row>
    <row r="94" spans="1:10" x14ac:dyDescent="0.35">
      <c r="A94" s="15">
        <v>1003</v>
      </c>
      <c r="B94" s="16">
        <v>45180</v>
      </c>
      <c r="C94" s="13" t="s">
        <v>14</v>
      </c>
      <c r="D94" s="13" t="s">
        <v>15</v>
      </c>
      <c r="E94" s="13" t="s">
        <v>24</v>
      </c>
      <c r="F94" s="13" t="s">
        <v>16</v>
      </c>
      <c r="G94" s="13" t="s">
        <v>23</v>
      </c>
      <c r="H94" s="15">
        <v>22</v>
      </c>
      <c r="I94" s="14">
        <v>4331.42</v>
      </c>
      <c r="J94" s="14">
        <f>PRODUCT(Table1[[#This Row],[Quantity_Sold]],Table1[[#This Row],[Unit_Price]])</f>
        <v>95291.24</v>
      </c>
    </row>
    <row r="95" spans="1:10" x14ac:dyDescent="0.35">
      <c r="A95" s="15">
        <v>1002</v>
      </c>
      <c r="B95" s="16">
        <v>45138</v>
      </c>
      <c r="C95" s="13" t="s">
        <v>14</v>
      </c>
      <c r="D95" s="13" t="s">
        <v>21</v>
      </c>
      <c r="E95" s="13" t="s">
        <v>11</v>
      </c>
      <c r="F95" s="13" t="s">
        <v>20</v>
      </c>
      <c r="G95" s="13" t="s">
        <v>13</v>
      </c>
      <c r="H95" s="15">
        <v>21</v>
      </c>
      <c r="I95" s="14">
        <v>4361.7</v>
      </c>
      <c r="J95" s="14">
        <f>PRODUCT(Table1[[#This Row],[Quantity_Sold]],Table1[[#This Row],[Unit_Price]])</f>
        <v>91595.7</v>
      </c>
    </row>
    <row r="96" spans="1:10" x14ac:dyDescent="0.35">
      <c r="A96" s="15">
        <v>1015</v>
      </c>
      <c r="B96" s="16">
        <v>45049</v>
      </c>
      <c r="C96" s="13" t="s">
        <v>14</v>
      </c>
      <c r="D96" s="13" t="s">
        <v>15</v>
      </c>
      <c r="E96" s="13" t="s">
        <v>11</v>
      </c>
      <c r="F96" s="13" t="s">
        <v>16</v>
      </c>
      <c r="G96" s="13" t="s">
        <v>23</v>
      </c>
      <c r="H96" s="15">
        <v>30</v>
      </c>
      <c r="I96" s="14">
        <v>3027.92</v>
      </c>
      <c r="J96" s="14">
        <f>PRODUCT(Table1[[#This Row],[Quantity_Sold]],Table1[[#This Row],[Unit_Price]])</f>
        <v>90837.6</v>
      </c>
    </row>
    <row r="97" spans="1:10" x14ac:dyDescent="0.35">
      <c r="A97" s="15">
        <v>1091</v>
      </c>
      <c r="B97" s="16">
        <v>45071</v>
      </c>
      <c r="C97" s="13" t="s">
        <v>18</v>
      </c>
      <c r="D97" s="13" t="s">
        <v>21</v>
      </c>
      <c r="E97" s="13" t="s">
        <v>24</v>
      </c>
      <c r="F97" s="13" t="s">
        <v>16</v>
      </c>
      <c r="G97" s="13" t="s">
        <v>13</v>
      </c>
      <c r="H97" s="15">
        <v>24</v>
      </c>
      <c r="I97" s="14">
        <v>3750.63</v>
      </c>
      <c r="J97" s="14">
        <f>PRODUCT(Table1[[#This Row],[Quantity_Sold]],Table1[[#This Row],[Unit_Price]])</f>
        <v>90015.12</v>
      </c>
    </row>
    <row r="98" spans="1:10" x14ac:dyDescent="0.35">
      <c r="A98" s="15">
        <v>1080</v>
      </c>
      <c r="B98" s="16">
        <v>44944</v>
      </c>
      <c r="C98" s="13" t="s">
        <v>19</v>
      </c>
      <c r="D98" s="13" t="s">
        <v>22</v>
      </c>
      <c r="E98" s="13" t="s">
        <v>24</v>
      </c>
      <c r="F98" s="13" t="s">
        <v>20</v>
      </c>
      <c r="G98" s="13" t="s">
        <v>23</v>
      </c>
      <c r="H98" s="15">
        <v>44</v>
      </c>
      <c r="I98" s="14">
        <v>1983.82</v>
      </c>
      <c r="J98" s="14">
        <f>PRODUCT(Table1[[#This Row],[Quantity_Sold]],Table1[[#This Row],[Unit_Price]])</f>
        <v>87288.08</v>
      </c>
    </row>
    <row r="99" spans="1:10" x14ac:dyDescent="0.35">
      <c r="A99" s="15">
        <v>1029</v>
      </c>
      <c r="B99" s="16">
        <v>44986</v>
      </c>
      <c r="C99" s="13" t="s">
        <v>14</v>
      </c>
      <c r="D99" s="13" t="s">
        <v>21</v>
      </c>
      <c r="E99" s="13" t="s">
        <v>24</v>
      </c>
      <c r="F99" s="13" t="s">
        <v>20</v>
      </c>
      <c r="G99" s="13" t="s">
        <v>13</v>
      </c>
      <c r="H99" s="15">
        <v>28</v>
      </c>
      <c r="I99" s="14">
        <v>3108.3</v>
      </c>
      <c r="J99" s="14">
        <f>PRODUCT(Table1[[#This Row],[Quantity_Sold]],Table1[[#This Row],[Unit_Price]])</f>
        <v>87032.400000000009</v>
      </c>
    </row>
    <row r="100" spans="1:10" x14ac:dyDescent="0.35">
      <c r="A100" s="15">
        <v>1009</v>
      </c>
      <c r="B100" s="16">
        <v>45044</v>
      </c>
      <c r="C100" s="13" t="s">
        <v>18</v>
      </c>
      <c r="D100" s="13" t="s">
        <v>21</v>
      </c>
      <c r="E100" s="13" t="s">
        <v>24</v>
      </c>
      <c r="F100" s="13" t="s">
        <v>20</v>
      </c>
      <c r="G100" s="13" t="s">
        <v>23</v>
      </c>
      <c r="H100" s="15">
        <v>33</v>
      </c>
      <c r="I100" s="14">
        <v>2626.9</v>
      </c>
      <c r="J100" s="14">
        <f>PRODUCT(Table1[[#This Row],[Quantity_Sold]],Table1[[#This Row],[Unit_Price]])</f>
        <v>86687.7</v>
      </c>
    </row>
    <row r="101" spans="1:10" x14ac:dyDescent="0.35">
      <c r="A101" s="15">
        <v>1002</v>
      </c>
      <c r="B101" s="16">
        <v>45259</v>
      </c>
      <c r="C101" s="13" t="s">
        <v>14</v>
      </c>
      <c r="D101" s="13" t="s">
        <v>10</v>
      </c>
      <c r="E101" s="13" t="s">
        <v>24</v>
      </c>
      <c r="F101" s="13" t="s">
        <v>20</v>
      </c>
      <c r="G101" s="13" t="s">
        <v>13</v>
      </c>
      <c r="H101" s="15">
        <v>24</v>
      </c>
      <c r="I101" s="14">
        <v>3599.27</v>
      </c>
      <c r="J101" s="14">
        <f>PRODUCT(Table1[[#This Row],[Quantity_Sold]],Table1[[#This Row],[Unit_Price]])</f>
        <v>86382.48</v>
      </c>
    </row>
    <row r="102" spans="1:10" x14ac:dyDescent="0.35">
      <c r="A102" s="15">
        <v>1012</v>
      </c>
      <c r="B102" s="16">
        <v>45221</v>
      </c>
      <c r="C102" s="13" t="s">
        <v>14</v>
      </c>
      <c r="D102" s="13" t="s">
        <v>10</v>
      </c>
      <c r="E102" s="13" t="s">
        <v>24</v>
      </c>
      <c r="F102" s="13" t="s">
        <v>16</v>
      </c>
      <c r="G102" s="13" t="s">
        <v>13</v>
      </c>
      <c r="H102" s="15">
        <v>34</v>
      </c>
      <c r="I102" s="14">
        <v>2521.77</v>
      </c>
      <c r="J102" s="14">
        <f>PRODUCT(Table1[[#This Row],[Quantity_Sold]],Table1[[#This Row],[Unit_Price]])</f>
        <v>85740.18</v>
      </c>
    </row>
    <row r="103" spans="1:10" x14ac:dyDescent="0.35">
      <c r="A103" s="15">
        <v>1060</v>
      </c>
      <c r="B103" s="16">
        <v>45222</v>
      </c>
      <c r="C103" s="13" t="s">
        <v>9</v>
      </c>
      <c r="D103" s="13" t="s">
        <v>21</v>
      </c>
      <c r="E103" s="13" t="s">
        <v>24</v>
      </c>
      <c r="F103" s="13" t="s">
        <v>16</v>
      </c>
      <c r="G103" s="13" t="s">
        <v>13</v>
      </c>
      <c r="H103" s="15">
        <v>46</v>
      </c>
      <c r="I103" s="14">
        <v>1830.27</v>
      </c>
      <c r="J103" s="14">
        <f>PRODUCT(Table1[[#This Row],[Quantity_Sold]],Table1[[#This Row],[Unit_Price]])</f>
        <v>84192.42</v>
      </c>
    </row>
    <row r="104" spans="1:10" x14ac:dyDescent="0.35">
      <c r="A104" s="15">
        <v>1050</v>
      </c>
      <c r="B104" s="16">
        <v>45065</v>
      </c>
      <c r="C104" s="13" t="s">
        <v>19</v>
      </c>
      <c r="D104" s="13" t="s">
        <v>21</v>
      </c>
      <c r="E104" s="13" t="s">
        <v>11</v>
      </c>
      <c r="F104" s="13" t="s">
        <v>16</v>
      </c>
      <c r="G104" s="13" t="s">
        <v>13</v>
      </c>
      <c r="H104" s="15">
        <v>35</v>
      </c>
      <c r="I104" s="14">
        <v>2384.38</v>
      </c>
      <c r="J104" s="14">
        <f>PRODUCT(Table1[[#This Row],[Quantity_Sold]],Table1[[#This Row],[Unit_Price]])</f>
        <v>83453.3</v>
      </c>
    </row>
    <row r="105" spans="1:10" x14ac:dyDescent="0.35">
      <c r="A105" s="15">
        <v>1032</v>
      </c>
      <c r="B105" s="16">
        <v>45239</v>
      </c>
      <c r="C105" s="13" t="s">
        <v>9</v>
      </c>
      <c r="D105" s="13" t="s">
        <v>22</v>
      </c>
      <c r="E105" s="13" t="s">
        <v>11</v>
      </c>
      <c r="F105" s="13" t="s">
        <v>20</v>
      </c>
      <c r="G105" s="13" t="s">
        <v>13</v>
      </c>
      <c r="H105" s="15">
        <v>25</v>
      </c>
      <c r="I105" s="14">
        <v>3337.4</v>
      </c>
      <c r="J105" s="14">
        <f>PRODUCT(Table1[[#This Row],[Quantity_Sold]],Table1[[#This Row],[Unit_Price]])</f>
        <v>83435</v>
      </c>
    </row>
    <row r="106" spans="1:10" x14ac:dyDescent="0.35">
      <c r="A106" s="15">
        <v>1090</v>
      </c>
      <c r="B106" s="16">
        <v>45157</v>
      </c>
      <c r="C106" s="13" t="s">
        <v>9</v>
      </c>
      <c r="D106" s="13" t="s">
        <v>21</v>
      </c>
      <c r="E106" s="13" t="s">
        <v>11</v>
      </c>
      <c r="F106" s="13" t="s">
        <v>16</v>
      </c>
      <c r="G106" s="13" t="s">
        <v>13</v>
      </c>
      <c r="H106" s="15">
        <v>31</v>
      </c>
      <c r="I106" s="14">
        <v>2668.02</v>
      </c>
      <c r="J106" s="14">
        <f>PRODUCT(Table1[[#This Row],[Quantity_Sold]],Table1[[#This Row],[Unit_Price]])</f>
        <v>82708.62</v>
      </c>
    </row>
    <row r="107" spans="1:10" x14ac:dyDescent="0.35">
      <c r="A107" s="15">
        <v>1040</v>
      </c>
      <c r="B107" s="16">
        <v>45076</v>
      </c>
      <c r="C107" s="13" t="s">
        <v>18</v>
      </c>
      <c r="D107" s="13" t="s">
        <v>21</v>
      </c>
      <c r="E107" s="13" t="s">
        <v>24</v>
      </c>
      <c r="F107" s="13" t="s">
        <v>20</v>
      </c>
      <c r="G107" s="13" t="s">
        <v>23</v>
      </c>
      <c r="H107" s="15">
        <v>47</v>
      </c>
      <c r="I107" s="14">
        <v>1750.38</v>
      </c>
      <c r="J107" s="14">
        <f>PRODUCT(Table1[[#This Row],[Quantity_Sold]],Table1[[#This Row],[Unit_Price]])</f>
        <v>82267.86</v>
      </c>
    </row>
    <row r="108" spans="1:10" x14ac:dyDescent="0.35">
      <c r="A108" s="15">
        <v>1081</v>
      </c>
      <c r="B108" s="16">
        <v>45032</v>
      </c>
      <c r="C108" s="13" t="s">
        <v>19</v>
      </c>
      <c r="D108" s="13" t="s">
        <v>22</v>
      </c>
      <c r="E108" s="13" t="s">
        <v>24</v>
      </c>
      <c r="F108" s="13" t="s">
        <v>20</v>
      </c>
      <c r="G108" s="13" t="s">
        <v>23</v>
      </c>
      <c r="H108" s="15">
        <v>44</v>
      </c>
      <c r="I108" s="14">
        <v>1844.07</v>
      </c>
      <c r="J108" s="14">
        <f>PRODUCT(Table1[[#This Row],[Quantity_Sold]],Table1[[#This Row],[Unit_Price]])</f>
        <v>81139.08</v>
      </c>
    </row>
    <row r="109" spans="1:10" x14ac:dyDescent="0.35">
      <c r="A109" s="15">
        <v>1068</v>
      </c>
      <c r="B109" s="16">
        <v>44981</v>
      </c>
      <c r="C109" s="13" t="s">
        <v>9</v>
      </c>
      <c r="D109" s="13" t="s">
        <v>21</v>
      </c>
      <c r="E109" s="13" t="s">
        <v>11</v>
      </c>
      <c r="F109" s="13" t="s">
        <v>16</v>
      </c>
      <c r="G109" s="13" t="s">
        <v>23</v>
      </c>
      <c r="H109" s="15">
        <v>22</v>
      </c>
      <c r="I109" s="14">
        <v>3651.42</v>
      </c>
      <c r="J109" s="14">
        <f>PRODUCT(Table1[[#This Row],[Quantity_Sold]],Table1[[#This Row],[Unit_Price]])</f>
        <v>80331.240000000005</v>
      </c>
    </row>
    <row r="110" spans="1:10" x14ac:dyDescent="0.35">
      <c r="A110" s="15">
        <v>1084</v>
      </c>
      <c r="B110" s="16">
        <v>45151</v>
      </c>
      <c r="C110" s="13" t="s">
        <v>18</v>
      </c>
      <c r="D110" s="13" t="s">
        <v>10</v>
      </c>
      <c r="E110" s="13" t="s">
        <v>24</v>
      </c>
      <c r="F110" s="13" t="s">
        <v>12</v>
      </c>
      <c r="G110" s="13" t="s">
        <v>23</v>
      </c>
      <c r="H110" s="15">
        <v>21</v>
      </c>
      <c r="I110" s="14">
        <v>3765.31</v>
      </c>
      <c r="J110" s="14">
        <f>PRODUCT(Table1[[#This Row],[Quantity_Sold]],Table1[[#This Row],[Unit_Price]])</f>
        <v>79071.509999999995</v>
      </c>
    </row>
    <row r="111" spans="1:10" x14ac:dyDescent="0.35">
      <c r="A111" s="15">
        <v>1090</v>
      </c>
      <c r="B111" s="16">
        <v>44951</v>
      </c>
      <c r="C111" s="13" t="s">
        <v>19</v>
      </c>
      <c r="D111" s="13" t="s">
        <v>21</v>
      </c>
      <c r="E111" s="13" t="s">
        <v>24</v>
      </c>
      <c r="F111" s="13" t="s">
        <v>20</v>
      </c>
      <c r="G111" s="13" t="s">
        <v>13</v>
      </c>
      <c r="H111" s="15">
        <v>17</v>
      </c>
      <c r="I111" s="14">
        <v>4645.3500000000004</v>
      </c>
      <c r="J111" s="14">
        <f>PRODUCT(Table1[[#This Row],[Quantity_Sold]],Table1[[#This Row],[Unit_Price]])</f>
        <v>78970.950000000012</v>
      </c>
    </row>
    <row r="112" spans="1:10" x14ac:dyDescent="0.35">
      <c r="A112" s="15">
        <v>1097</v>
      </c>
      <c r="B112" s="16">
        <v>45001</v>
      </c>
      <c r="C112" s="13" t="s">
        <v>14</v>
      </c>
      <c r="D112" s="13" t="s">
        <v>15</v>
      </c>
      <c r="E112" s="13" t="s">
        <v>24</v>
      </c>
      <c r="F112" s="13" t="s">
        <v>20</v>
      </c>
      <c r="G112" s="13" t="s">
        <v>23</v>
      </c>
      <c r="H112" s="15">
        <v>35</v>
      </c>
      <c r="I112" s="14">
        <v>2254.84</v>
      </c>
      <c r="J112" s="14">
        <f>PRODUCT(Table1[[#This Row],[Quantity_Sold]],Table1[[#This Row],[Unit_Price]])</f>
        <v>78919.400000000009</v>
      </c>
    </row>
    <row r="113" spans="1:10" x14ac:dyDescent="0.35">
      <c r="A113" s="15">
        <v>1051</v>
      </c>
      <c r="B113" s="16">
        <v>45023</v>
      </c>
      <c r="C113" s="13" t="s">
        <v>18</v>
      </c>
      <c r="D113" s="13" t="s">
        <v>22</v>
      </c>
      <c r="E113" s="13" t="s">
        <v>24</v>
      </c>
      <c r="F113" s="13" t="s">
        <v>12</v>
      </c>
      <c r="G113" s="13" t="s">
        <v>23</v>
      </c>
      <c r="H113" s="15">
        <v>23</v>
      </c>
      <c r="I113" s="14">
        <v>3401.1</v>
      </c>
      <c r="J113" s="14">
        <f>PRODUCT(Table1[[#This Row],[Quantity_Sold]],Table1[[#This Row],[Unit_Price]])</f>
        <v>78225.3</v>
      </c>
    </row>
    <row r="114" spans="1:10" x14ac:dyDescent="0.35">
      <c r="A114" s="15">
        <v>1007</v>
      </c>
      <c r="B114" s="16">
        <v>44975</v>
      </c>
      <c r="C114" s="13" t="s">
        <v>18</v>
      </c>
      <c r="D114" s="13" t="s">
        <v>21</v>
      </c>
      <c r="E114" s="13" t="s">
        <v>11</v>
      </c>
      <c r="F114" s="13" t="s">
        <v>16</v>
      </c>
      <c r="G114" s="13" t="s">
        <v>13</v>
      </c>
      <c r="H114" s="15">
        <v>34</v>
      </c>
      <c r="I114" s="14">
        <v>2289.27</v>
      </c>
      <c r="J114" s="14">
        <f>PRODUCT(Table1[[#This Row],[Quantity_Sold]],Table1[[#This Row],[Unit_Price]])</f>
        <v>77835.179999999993</v>
      </c>
    </row>
    <row r="115" spans="1:10" x14ac:dyDescent="0.35">
      <c r="A115" s="15">
        <v>1033</v>
      </c>
      <c r="B115" s="16">
        <v>45244</v>
      </c>
      <c r="C115" s="13" t="s">
        <v>14</v>
      </c>
      <c r="D115" s="13" t="s">
        <v>10</v>
      </c>
      <c r="E115" s="13" t="s">
        <v>11</v>
      </c>
      <c r="F115" s="13" t="s">
        <v>16</v>
      </c>
      <c r="G115" s="13" t="s">
        <v>13</v>
      </c>
      <c r="H115" s="15">
        <v>23</v>
      </c>
      <c r="I115" s="14">
        <v>3360.4</v>
      </c>
      <c r="J115" s="14">
        <f>PRODUCT(Table1[[#This Row],[Quantity_Sold]],Table1[[#This Row],[Unit_Price]])</f>
        <v>77289.2</v>
      </c>
    </row>
    <row r="116" spans="1:10" x14ac:dyDescent="0.35">
      <c r="A116" s="15">
        <v>1092</v>
      </c>
      <c r="B116" s="16">
        <v>44966</v>
      </c>
      <c r="C116" s="13" t="s">
        <v>14</v>
      </c>
      <c r="D116" s="13" t="s">
        <v>10</v>
      </c>
      <c r="E116" s="13" t="s">
        <v>24</v>
      </c>
      <c r="F116" s="13" t="s">
        <v>20</v>
      </c>
      <c r="G116" s="13" t="s">
        <v>23</v>
      </c>
      <c r="H116" s="15">
        <v>34</v>
      </c>
      <c r="I116" s="14">
        <v>2238.65</v>
      </c>
      <c r="J116" s="14">
        <f>PRODUCT(Table1[[#This Row],[Quantity_Sold]],Table1[[#This Row],[Unit_Price]])</f>
        <v>76114.100000000006</v>
      </c>
    </row>
    <row r="117" spans="1:10" x14ac:dyDescent="0.35">
      <c r="A117" s="15">
        <v>1083</v>
      </c>
      <c r="B117" s="16">
        <v>45027</v>
      </c>
      <c r="C117" s="13" t="s">
        <v>9</v>
      </c>
      <c r="D117" s="13" t="s">
        <v>10</v>
      </c>
      <c r="E117" s="13" t="s">
        <v>11</v>
      </c>
      <c r="F117" s="13" t="s">
        <v>12</v>
      </c>
      <c r="G117" s="13" t="s">
        <v>23</v>
      </c>
      <c r="H117" s="15">
        <v>29</v>
      </c>
      <c r="I117" s="14">
        <v>2624.09</v>
      </c>
      <c r="J117" s="14">
        <f>PRODUCT(Table1[[#This Row],[Quantity_Sold]],Table1[[#This Row],[Unit_Price]])</f>
        <v>76098.61</v>
      </c>
    </row>
    <row r="118" spans="1:10" x14ac:dyDescent="0.35">
      <c r="A118" s="15">
        <v>1057</v>
      </c>
      <c r="B118" s="16">
        <v>45287</v>
      </c>
      <c r="C118" s="13" t="s">
        <v>9</v>
      </c>
      <c r="D118" s="13" t="s">
        <v>10</v>
      </c>
      <c r="E118" s="13" t="s">
        <v>11</v>
      </c>
      <c r="F118" s="13" t="s">
        <v>20</v>
      </c>
      <c r="G118" s="13" t="s">
        <v>23</v>
      </c>
      <c r="H118" s="15">
        <v>31</v>
      </c>
      <c r="I118" s="14">
        <v>2453.35</v>
      </c>
      <c r="J118" s="14">
        <f>PRODUCT(Table1[[#This Row],[Quantity_Sold]],Table1[[#This Row],[Unit_Price]])</f>
        <v>76053.849999999991</v>
      </c>
    </row>
    <row r="119" spans="1:10" x14ac:dyDescent="0.35">
      <c r="A119" s="15">
        <v>1044</v>
      </c>
      <c r="B119" s="16">
        <v>44973</v>
      </c>
      <c r="C119" s="13" t="s">
        <v>14</v>
      </c>
      <c r="D119" s="13" t="s">
        <v>15</v>
      </c>
      <c r="E119" s="13" t="s">
        <v>11</v>
      </c>
      <c r="F119" s="13" t="s">
        <v>16</v>
      </c>
      <c r="G119" s="13" t="s">
        <v>13</v>
      </c>
      <c r="H119" s="15">
        <v>22</v>
      </c>
      <c r="I119" s="14">
        <v>3454.76</v>
      </c>
      <c r="J119" s="14">
        <f>PRODUCT(Table1[[#This Row],[Quantity_Sold]],Table1[[#This Row],[Unit_Price]])</f>
        <v>76004.72</v>
      </c>
    </row>
    <row r="120" spans="1:10" x14ac:dyDescent="0.35">
      <c r="A120" s="15">
        <v>1021</v>
      </c>
      <c r="B120" s="16">
        <v>45257</v>
      </c>
      <c r="C120" s="13" t="s">
        <v>18</v>
      </c>
      <c r="D120" s="13" t="s">
        <v>10</v>
      </c>
      <c r="E120" s="13" t="s">
        <v>11</v>
      </c>
      <c r="F120" s="13" t="s">
        <v>16</v>
      </c>
      <c r="G120" s="13" t="s">
        <v>23</v>
      </c>
      <c r="H120" s="15">
        <v>31</v>
      </c>
      <c r="I120" s="14">
        <v>2441.79</v>
      </c>
      <c r="J120" s="14">
        <f>PRODUCT(Table1[[#This Row],[Quantity_Sold]],Table1[[#This Row],[Unit_Price]])</f>
        <v>75695.490000000005</v>
      </c>
    </row>
    <row r="121" spans="1:10" x14ac:dyDescent="0.35">
      <c r="A121" s="15">
        <v>1002</v>
      </c>
      <c r="B121" s="16">
        <v>45076</v>
      </c>
      <c r="C121" s="13" t="s">
        <v>14</v>
      </c>
      <c r="D121" s="13" t="s">
        <v>10</v>
      </c>
      <c r="E121" s="13" t="s">
        <v>11</v>
      </c>
      <c r="F121" s="13" t="s">
        <v>12</v>
      </c>
      <c r="G121" s="13" t="s">
        <v>23</v>
      </c>
      <c r="H121" s="15">
        <v>17</v>
      </c>
      <c r="I121" s="14">
        <v>4420.1499999999996</v>
      </c>
      <c r="J121" s="14">
        <f>PRODUCT(Table1[[#This Row],[Quantity_Sold]],Table1[[#This Row],[Unit_Price]])</f>
        <v>75142.549999999988</v>
      </c>
    </row>
    <row r="122" spans="1:10" x14ac:dyDescent="0.35">
      <c r="A122" s="15">
        <v>1071</v>
      </c>
      <c r="B122" s="16">
        <v>45287</v>
      </c>
      <c r="C122" s="13" t="s">
        <v>14</v>
      </c>
      <c r="D122" s="13" t="s">
        <v>15</v>
      </c>
      <c r="E122" s="13" t="s">
        <v>24</v>
      </c>
      <c r="F122" s="13" t="s">
        <v>12</v>
      </c>
      <c r="G122" s="13" t="s">
        <v>13</v>
      </c>
      <c r="H122" s="15">
        <v>40</v>
      </c>
      <c r="I122" s="14">
        <v>1875.75</v>
      </c>
      <c r="J122" s="14">
        <f>PRODUCT(Table1[[#This Row],[Quantity_Sold]],Table1[[#This Row],[Unit_Price]])</f>
        <v>75030</v>
      </c>
    </row>
    <row r="123" spans="1:10" x14ac:dyDescent="0.35">
      <c r="A123" s="15">
        <v>1062</v>
      </c>
      <c r="B123" s="16">
        <v>44932</v>
      </c>
      <c r="C123" s="13" t="s">
        <v>17</v>
      </c>
      <c r="D123" s="13" t="s">
        <v>21</v>
      </c>
      <c r="E123" s="13" t="s">
        <v>24</v>
      </c>
      <c r="F123" s="13" t="s">
        <v>20</v>
      </c>
      <c r="G123" s="13" t="s">
        <v>23</v>
      </c>
      <c r="H123" s="15">
        <v>15</v>
      </c>
      <c r="I123" s="14">
        <v>4888.46</v>
      </c>
      <c r="J123" s="14">
        <f>PRODUCT(Table1[[#This Row],[Quantity_Sold]],Table1[[#This Row],[Unit_Price]])</f>
        <v>73326.899999999994</v>
      </c>
    </row>
    <row r="124" spans="1:10" x14ac:dyDescent="0.35">
      <c r="A124" s="15">
        <v>1093</v>
      </c>
      <c r="B124" s="16">
        <v>45187</v>
      </c>
      <c r="C124" s="13" t="s">
        <v>14</v>
      </c>
      <c r="D124" s="13" t="s">
        <v>22</v>
      </c>
      <c r="E124" s="13" t="s">
        <v>24</v>
      </c>
      <c r="F124" s="13" t="s">
        <v>20</v>
      </c>
      <c r="G124" s="13" t="s">
        <v>23</v>
      </c>
      <c r="H124" s="15">
        <v>19</v>
      </c>
      <c r="I124" s="14">
        <v>3844.51</v>
      </c>
      <c r="J124" s="14">
        <f>PRODUCT(Table1[[#This Row],[Quantity_Sold]],Table1[[#This Row],[Unit_Price]])</f>
        <v>73045.69</v>
      </c>
    </row>
    <row r="125" spans="1:10" x14ac:dyDescent="0.35">
      <c r="A125" s="15">
        <v>1086</v>
      </c>
      <c r="B125" s="16">
        <v>45170</v>
      </c>
      <c r="C125" s="13" t="s">
        <v>19</v>
      </c>
      <c r="D125" s="13" t="s">
        <v>22</v>
      </c>
      <c r="E125" s="13" t="s">
        <v>24</v>
      </c>
      <c r="F125" s="13" t="s">
        <v>12</v>
      </c>
      <c r="G125" s="13" t="s">
        <v>23</v>
      </c>
      <c r="H125" s="15">
        <v>17</v>
      </c>
      <c r="I125" s="14">
        <v>4262.21</v>
      </c>
      <c r="J125" s="14">
        <f>PRODUCT(Table1[[#This Row],[Quantity_Sold]],Table1[[#This Row],[Unit_Price]])</f>
        <v>72457.570000000007</v>
      </c>
    </row>
    <row r="126" spans="1:10" x14ac:dyDescent="0.35">
      <c r="A126" s="15">
        <v>1093</v>
      </c>
      <c r="B126" s="16">
        <v>45037</v>
      </c>
      <c r="C126" s="13" t="s">
        <v>9</v>
      </c>
      <c r="D126" s="13" t="s">
        <v>10</v>
      </c>
      <c r="E126" s="13" t="s">
        <v>11</v>
      </c>
      <c r="F126" s="13" t="s">
        <v>12</v>
      </c>
      <c r="G126" s="13" t="s">
        <v>13</v>
      </c>
      <c r="H126" s="15">
        <v>17</v>
      </c>
      <c r="I126" s="14">
        <v>4209.4399999999996</v>
      </c>
      <c r="J126" s="14">
        <f>PRODUCT(Table1[[#This Row],[Quantity_Sold]],Table1[[#This Row],[Unit_Price]])</f>
        <v>71560.479999999996</v>
      </c>
    </row>
    <row r="127" spans="1:10" x14ac:dyDescent="0.35">
      <c r="A127" s="15">
        <v>1059</v>
      </c>
      <c r="B127" s="16">
        <v>45136</v>
      </c>
      <c r="C127" s="13" t="s">
        <v>9</v>
      </c>
      <c r="D127" s="13" t="s">
        <v>10</v>
      </c>
      <c r="E127" s="13" t="s">
        <v>11</v>
      </c>
      <c r="F127" s="13" t="s">
        <v>20</v>
      </c>
      <c r="G127" s="13" t="s">
        <v>13</v>
      </c>
      <c r="H127" s="15">
        <v>16</v>
      </c>
      <c r="I127" s="14">
        <v>4464.28</v>
      </c>
      <c r="J127" s="14">
        <f>PRODUCT(Table1[[#This Row],[Quantity_Sold]],Table1[[#This Row],[Unit_Price]])</f>
        <v>71428.479999999996</v>
      </c>
    </row>
    <row r="128" spans="1:10" x14ac:dyDescent="0.35">
      <c r="A128" s="15">
        <v>1042</v>
      </c>
      <c r="B128" s="16">
        <v>45083</v>
      </c>
      <c r="C128" s="13" t="s">
        <v>9</v>
      </c>
      <c r="D128" s="13" t="s">
        <v>15</v>
      </c>
      <c r="E128" s="13" t="s">
        <v>11</v>
      </c>
      <c r="F128" s="13" t="s">
        <v>20</v>
      </c>
      <c r="G128" s="13" t="s">
        <v>13</v>
      </c>
      <c r="H128" s="15">
        <v>20</v>
      </c>
      <c r="I128" s="14">
        <v>3565.58</v>
      </c>
      <c r="J128" s="14">
        <f>PRODUCT(Table1[[#This Row],[Quantity_Sold]],Table1[[#This Row],[Unit_Price]])</f>
        <v>71311.600000000006</v>
      </c>
    </row>
    <row r="129" spans="1:10" x14ac:dyDescent="0.35">
      <c r="A129" s="15">
        <v>1060</v>
      </c>
      <c r="B129" s="16">
        <v>45155</v>
      </c>
      <c r="C129" s="13" t="s">
        <v>9</v>
      </c>
      <c r="D129" s="13" t="s">
        <v>21</v>
      </c>
      <c r="E129" s="13" t="s">
        <v>24</v>
      </c>
      <c r="F129" s="13" t="s">
        <v>12</v>
      </c>
      <c r="G129" s="13" t="s">
        <v>23</v>
      </c>
      <c r="H129" s="15">
        <v>16</v>
      </c>
      <c r="I129" s="14">
        <v>4422.59</v>
      </c>
      <c r="J129" s="14">
        <f>PRODUCT(Table1[[#This Row],[Quantity_Sold]],Table1[[#This Row],[Unit_Price]])</f>
        <v>70761.440000000002</v>
      </c>
    </row>
    <row r="130" spans="1:10" x14ac:dyDescent="0.35">
      <c r="A130" s="15">
        <v>1075</v>
      </c>
      <c r="B130" s="16">
        <v>45235</v>
      </c>
      <c r="C130" s="13" t="s">
        <v>9</v>
      </c>
      <c r="D130" s="13" t="s">
        <v>15</v>
      </c>
      <c r="E130" s="13" t="s">
        <v>24</v>
      </c>
      <c r="F130" s="13" t="s">
        <v>16</v>
      </c>
      <c r="G130" s="13" t="s">
        <v>23</v>
      </c>
      <c r="H130" s="15">
        <v>37</v>
      </c>
      <c r="I130" s="14">
        <v>1906.64</v>
      </c>
      <c r="J130" s="14">
        <f>PRODUCT(Table1[[#This Row],[Quantity_Sold]],Table1[[#This Row],[Unit_Price]])</f>
        <v>70545.680000000008</v>
      </c>
    </row>
    <row r="131" spans="1:10" x14ac:dyDescent="0.35">
      <c r="A131" s="15">
        <v>1071</v>
      </c>
      <c r="B131" s="16">
        <v>45229</v>
      </c>
      <c r="C131" s="13" t="s">
        <v>18</v>
      </c>
      <c r="D131" s="13" t="s">
        <v>22</v>
      </c>
      <c r="E131" s="13" t="s">
        <v>24</v>
      </c>
      <c r="F131" s="13" t="s">
        <v>16</v>
      </c>
      <c r="G131" s="13" t="s">
        <v>23</v>
      </c>
      <c r="H131" s="15">
        <v>22</v>
      </c>
      <c r="I131" s="14">
        <v>3185.81</v>
      </c>
      <c r="J131" s="14">
        <f>PRODUCT(Table1[[#This Row],[Quantity_Sold]],Table1[[#This Row],[Unit_Price]])</f>
        <v>70087.819999999992</v>
      </c>
    </row>
    <row r="132" spans="1:10" x14ac:dyDescent="0.35">
      <c r="A132" s="15">
        <v>1036</v>
      </c>
      <c r="B132" s="16">
        <v>45219</v>
      </c>
      <c r="C132" s="13" t="s">
        <v>14</v>
      </c>
      <c r="D132" s="13" t="s">
        <v>21</v>
      </c>
      <c r="E132" s="13" t="s">
        <v>24</v>
      </c>
      <c r="F132" s="13" t="s">
        <v>12</v>
      </c>
      <c r="G132" s="13" t="s">
        <v>23</v>
      </c>
      <c r="H132" s="15">
        <v>49</v>
      </c>
      <c r="I132" s="14">
        <v>1429.44</v>
      </c>
      <c r="J132" s="14">
        <f>PRODUCT(Table1[[#This Row],[Quantity_Sold]],Table1[[#This Row],[Unit_Price]])</f>
        <v>70042.559999999998</v>
      </c>
    </row>
    <row r="133" spans="1:10" x14ac:dyDescent="0.35">
      <c r="A133" s="15">
        <v>1079</v>
      </c>
      <c r="B133" s="16">
        <v>45144</v>
      </c>
      <c r="C133" s="13" t="s">
        <v>14</v>
      </c>
      <c r="D133" s="13" t="s">
        <v>21</v>
      </c>
      <c r="E133" s="13" t="s">
        <v>24</v>
      </c>
      <c r="F133" s="13" t="s">
        <v>12</v>
      </c>
      <c r="G133" s="13" t="s">
        <v>13</v>
      </c>
      <c r="H133" s="15">
        <v>45</v>
      </c>
      <c r="I133" s="14">
        <v>1547.35</v>
      </c>
      <c r="J133" s="14">
        <f>PRODUCT(Table1[[#This Row],[Quantity_Sold]],Table1[[#This Row],[Unit_Price]])</f>
        <v>69630.75</v>
      </c>
    </row>
    <row r="134" spans="1:10" x14ac:dyDescent="0.35">
      <c r="A134" s="15">
        <v>1015</v>
      </c>
      <c r="B134" s="16">
        <v>45215</v>
      </c>
      <c r="C134" s="13" t="s">
        <v>19</v>
      </c>
      <c r="D134" s="13" t="s">
        <v>15</v>
      </c>
      <c r="E134" s="13" t="s">
        <v>11</v>
      </c>
      <c r="F134" s="13" t="s">
        <v>12</v>
      </c>
      <c r="G134" s="13" t="s">
        <v>13</v>
      </c>
      <c r="H134" s="15">
        <v>23</v>
      </c>
      <c r="I134" s="14">
        <v>3007.53</v>
      </c>
      <c r="J134" s="14">
        <f>PRODUCT(Table1[[#This Row],[Quantity_Sold]],Table1[[#This Row],[Unit_Price]])</f>
        <v>69173.19</v>
      </c>
    </row>
    <row r="135" spans="1:10" x14ac:dyDescent="0.35">
      <c r="A135" s="15">
        <v>1047</v>
      </c>
      <c r="B135" s="16">
        <v>45030</v>
      </c>
      <c r="C135" s="13" t="s">
        <v>17</v>
      </c>
      <c r="D135" s="13" t="s">
        <v>21</v>
      </c>
      <c r="E135" s="13" t="s">
        <v>11</v>
      </c>
      <c r="F135" s="13" t="s">
        <v>20</v>
      </c>
      <c r="G135" s="13" t="s">
        <v>13</v>
      </c>
      <c r="H135" s="15">
        <v>16</v>
      </c>
      <c r="I135" s="14">
        <v>4321.04</v>
      </c>
      <c r="J135" s="14">
        <f>PRODUCT(Table1[[#This Row],[Quantity_Sold]],Table1[[#This Row],[Unit_Price]])</f>
        <v>69136.639999999999</v>
      </c>
    </row>
    <row r="136" spans="1:10" x14ac:dyDescent="0.35">
      <c r="A136" s="15">
        <v>1079</v>
      </c>
      <c r="B136" s="16">
        <v>45083</v>
      </c>
      <c r="C136" s="13" t="s">
        <v>14</v>
      </c>
      <c r="D136" s="13" t="s">
        <v>10</v>
      </c>
      <c r="E136" s="13" t="s">
        <v>11</v>
      </c>
      <c r="F136" s="13" t="s">
        <v>20</v>
      </c>
      <c r="G136" s="13" t="s">
        <v>23</v>
      </c>
      <c r="H136" s="15">
        <v>34</v>
      </c>
      <c r="I136" s="14">
        <v>1993.4</v>
      </c>
      <c r="J136" s="14">
        <f>PRODUCT(Table1[[#This Row],[Quantity_Sold]],Table1[[#This Row],[Unit_Price]])</f>
        <v>67775.600000000006</v>
      </c>
    </row>
    <row r="137" spans="1:10" x14ac:dyDescent="0.35">
      <c r="A137" s="15">
        <v>1029</v>
      </c>
      <c r="B137" s="16">
        <v>45279</v>
      </c>
      <c r="C137" s="13" t="s">
        <v>17</v>
      </c>
      <c r="D137" s="13" t="s">
        <v>15</v>
      </c>
      <c r="E137" s="13" t="s">
        <v>24</v>
      </c>
      <c r="F137" s="13" t="s">
        <v>12</v>
      </c>
      <c r="G137" s="13" t="s">
        <v>13</v>
      </c>
      <c r="H137" s="15">
        <v>21</v>
      </c>
      <c r="I137" s="14">
        <v>3200.75</v>
      </c>
      <c r="J137" s="14">
        <f>PRODUCT(Table1[[#This Row],[Quantity_Sold]],Table1[[#This Row],[Unit_Price]])</f>
        <v>67215.75</v>
      </c>
    </row>
    <row r="138" spans="1:10" x14ac:dyDescent="0.35">
      <c r="A138" s="15">
        <v>1059</v>
      </c>
      <c r="B138" s="16">
        <v>45154</v>
      </c>
      <c r="C138" s="13" t="s">
        <v>18</v>
      </c>
      <c r="D138" s="13" t="s">
        <v>21</v>
      </c>
      <c r="E138" s="13" t="s">
        <v>24</v>
      </c>
      <c r="F138" s="13" t="s">
        <v>20</v>
      </c>
      <c r="G138" s="13" t="s">
        <v>23</v>
      </c>
      <c r="H138" s="15">
        <v>21</v>
      </c>
      <c r="I138" s="14">
        <v>3192.99</v>
      </c>
      <c r="J138" s="14">
        <f>PRODUCT(Table1[[#This Row],[Quantity_Sold]],Table1[[#This Row],[Unit_Price]])</f>
        <v>67052.789999999994</v>
      </c>
    </row>
    <row r="139" spans="1:10" x14ac:dyDescent="0.35">
      <c r="A139" s="15">
        <v>1028</v>
      </c>
      <c r="B139" s="16">
        <v>44968</v>
      </c>
      <c r="C139" s="13" t="s">
        <v>18</v>
      </c>
      <c r="D139" s="13" t="s">
        <v>21</v>
      </c>
      <c r="E139" s="13" t="s">
        <v>11</v>
      </c>
      <c r="F139" s="13" t="s">
        <v>16</v>
      </c>
      <c r="G139" s="13" t="s">
        <v>13</v>
      </c>
      <c r="H139" s="15">
        <v>24</v>
      </c>
      <c r="I139" s="14">
        <v>2766.05</v>
      </c>
      <c r="J139" s="14">
        <f>PRODUCT(Table1[[#This Row],[Quantity_Sold]],Table1[[#This Row],[Unit_Price]])</f>
        <v>66385.200000000012</v>
      </c>
    </row>
    <row r="140" spans="1:10" x14ac:dyDescent="0.35">
      <c r="A140" s="15">
        <v>1069</v>
      </c>
      <c r="B140" s="16">
        <v>45080</v>
      </c>
      <c r="C140" s="13" t="s">
        <v>14</v>
      </c>
      <c r="D140" s="13" t="s">
        <v>21</v>
      </c>
      <c r="E140" s="13" t="s">
        <v>24</v>
      </c>
      <c r="F140" s="13" t="s">
        <v>20</v>
      </c>
      <c r="G140" s="13" t="s">
        <v>13</v>
      </c>
      <c r="H140" s="15">
        <v>42</v>
      </c>
      <c r="I140" s="14">
        <v>1482.88</v>
      </c>
      <c r="J140" s="14">
        <f>PRODUCT(Table1[[#This Row],[Quantity_Sold]],Table1[[#This Row],[Unit_Price]])</f>
        <v>62280.960000000006</v>
      </c>
    </row>
    <row r="141" spans="1:10" x14ac:dyDescent="0.35">
      <c r="A141" s="15">
        <v>1030</v>
      </c>
      <c r="B141" s="16">
        <v>45124</v>
      </c>
      <c r="C141" s="13" t="s">
        <v>14</v>
      </c>
      <c r="D141" s="13" t="s">
        <v>21</v>
      </c>
      <c r="E141" s="13" t="s">
        <v>11</v>
      </c>
      <c r="F141" s="13" t="s">
        <v>12</v>
      </c>
      <c r="G141" s="13" t="s">
        <v>23</v>
      </c>
      <c r="H141" s="15">
        <v>19</v>
      </c>
      <c r="I141" s="14">
        <v>3209.22</v>
      </c>
      <c r="J141" s="14">
        <f>PRODUCT(Table1[[#This Row],[Quantity_Sold]],Table1[[#This Row],[Unit_Price]])</f>
        <v>60975.179999999993</v>
      </c>
    </row>
    <row r="142" spans="1:10" x14ac:dyDescent="0.35">
      <c r="A142" s="15">
        <v>1062</v>
      </c>
      <c r="B142" s="16">
        <v>45247</v>
      </c>
      <c r="C142" s="13" t="s">
        <v>19</v>
      </c>
      <c r="D142" s="13" t="s">
        <v>21</v>
      </c>
      <c r="E142" s="13" t="s">
        <v>11</v>
      </c>
      <c r="F142" s="13" t="s">
        <v>12</v>
      </c>
      <c r="G142" s="13" t="s">
        <v>13</v>
      </c>
      <c r="H142" s="15">
        <v>28</v>
      </c>
      <c r="I142" s="14">
        <v>2168.91</v>
      </c>
      <c r="J142" s="14">
        <f>PRODUCT(Table1[[#This Row],[Quantity_Sold]],Table1[[#This Row],[Unit_Price]])</f>
        <v>60729.479999999996</v>
      </c>
    </row>
    <row r="143" spans="1:10" x14ac:dyDescent="0.35">
      <c r="A143" s="15">
        <v>1022</v>
      </c>
      <c r="B143" s="16">
        <v>45155</v>
      </c>
      <c r="C143" s="13" t="s">
        <v>19</v>
      </c>
      <c r="D143" s="13" t="s">
        <v>15</v>
      </c>
      <c r="E143" s="13" t="s">
        <v>24</v>
      </c>
      <c r="F143" s="13" t="s">
        <v>16</v>
      </c>
      <c r="G143" s="13" t="s">
        <v>13</v>
      </c>
      <c r="H143" s="15">
        <v>21</v>
      </c>
      <c r="I143" s="14">
        <v>2869.6</v>
      </c>
      <c r="J143" s="14">
        <f>PRODUCT(Table1[[#This Row],[Quantity_Sold]],Table1[[#This Row],[Unit_Price]])</f>
        <v>60261.599999999999</v>
      </c>
    </row>
    <row r="144" spans="1:10" x14ac:dyDescent="0.35">
      <c r="A144" s="15">
        <v>1027</v>
      </c>
      <c r="B144" s="16">
        <v>44995</v>
      </c>
      <c r="C144" s="13" t="s">
        <v>17</v>
      </c>
      <c r="D144" s="13" t="s">
        <v>15</v>
      </c>
      <c r="E144" s="13" t="s">
        <v>11</v>
      </c>
      <c r="F144" s="13" t="s">
        <v>16</v>
      </c>
      <c r="G144" s="13" t="s">
        <v>23</v>
      </c>
      <c r="H144" s="15">
        <v>21</v>
      </c>
      <c r="I144" s="14">
        <v>2848.4</v>
      </c>
      <c r="J144" s="14">
        <f>PRODUCT(Table1[[#This Row],[Quantity_Sold]],Table1[[#This Row],[Unit_Price]])</f>
        <v>59816.4</v>
      </c>
    </row>
    <row r="145" spans="1:10" x14ac:dyDescent="0.35">
      <c r="A145" s="15">
        <v>1089</v>
      </c>
      <c r="B145" s="16">
        <v>45218</v>
      </c>
      <c r="C145" s="13" t="s">
        <v>17</v>
      </c>
      <c r="D145" s="13" t="s">
        <v>15</v>
      </c>
      <c r="E145" s="13" t="s">
        <v>11</v>
      </c>
      <c r="F145" s="13" t="s">
        <v>20</v>
      </c>
      <c r="G145" s="13" t="s">
        <v>13</v>
      </c>
      <c r="H145" s="15">
        <v>23</v>
      </c>
      <c r="I145" s="14">
        <v>2597.67</v>
      </c>
      <c r="J145" s="14">
        <f>PRODUCT(Table1[[#This Row],[Quantity_Sold]],Table1[[#This Row],[Unit_Price]])</f>
        <v>59746.41</v>
      </c>
    </row>
    <row r="146" spans="1:10" x14ac:dyDescent="0.35">
      <c r="A146" s="15">
        <v>1002</v>
      </c>
      <c r="B146" s="16">
        <v>45067</v>
      </c>
      <c r="C146" s="13" t="s">
        <v>19</v>
      </c>
      <c r="D146" s="13" t="s">
        <v>21</v>
      </c>
      <c r="E146" s="13" t="s">
        <v>11</v>
      </c>
      <c r="F146" s="13" t="s">
        <v>12</v>
      </c>
      <c r="G146" s="13" t="s">
        <v>23</v>
      </c>
      <c r="H146" s="15">
        <v>26</v>
      </c>
      <c r="I146" s="14">
        <v>2291.17</v>
      </c>
      <c r="J146" s="14">
        <f>PRODUCT(Table1[[#This Row],[Quantity_Sold]],Table1[[#This Row],[Unit_Price]])</f>
        <v>59570.42</v>
      </c>
    </row>
    <row r="147" spans="1:10" x14ac:dyDescent="0.35">
      <c r="A147" s="15">
        <v>1082</v>
      </c>
      <c r="B147" s="16">
        <v>45260</v>
      </c>
      <c r="C147" s="13" t="s">
        <v>18</v>
      </c>
      <c r="D147" s="13" t="s">
        <v>22</v>
      </c>
      <c r="E147" s="13" t="s">
        <v>11</v>
      </c>
      <c r="F147" s="13" t="s">
        <v>16</v>
      </c>
      <c r="G147" s="13" t="s">
        <v>23</v>
      </c>
      <c r="H147" s="15">
        <v>41</v>
      </c>
      <c r="I147" s="14">
        <v>1444.97</v>
      </c>
      <c r="J147" s="14">
        <f>PRODUCT(Table1[[#This Row],[Quantity_Sold]],Table1[[#This Row],[Unit_Price]])</f>
        <v>59243.770000000004</v>
      </c>
    </row>
    <row r="148" spans="1:10" x14ac:dyDescent="0.35">
      <c r="A148" s="15">
        <v>1070</v>
      </c>
      <c r="B148" s="16">
        <v>44989</v>
      </c>
      <c r="C148" s="13" t="s">
        <v>9</v>
      </c>
      <c r="D148" s="13" t="s">
        <v>22</v>
      </c>
      <c r="E148" s="13" t="s">
        <v>24</v>
      </c>
      <c r="F148" s="13" t="s">
        <v>20</v>
      </c>
      <c r="G148" s="13" t="s">
        <v>13</v>
      </c>
      <c r="H148" s="15">
        <v>15</v>
      </c>
      <c r="I148" s="14">
        <v>3896.19</v>
      </c>
      <c r="J148" s="14">
        <f>PRODUCT(Table1[[#This Row],[Quantity_Sold]],Table1[[#This Row],[Unit_Price]])</f>
        <v>58442.85</v>
      </c>
    </row>
    <row r="149" spans="1:10" x14ac:dyDescent="0.35">
      <c r="A149" s="15">
        <v>1088</v>
      </c>
      <c r="B149" s="16">
        <v>45196</v>
      </c>
      <c r="C149" s="13" t="s">
        <v>17</v>
      </c>
      <c r="D149" s="13" t="s">
        <v>21</v>
      </c>
      <c r="E149" s="13" t="s">
        <v>11</v>
      </c>
      <c r="F149" s="13" t="s">
        <v>12</v>
      </c>
      <c r="G149" s="13" t="s">
        <v>13</v>
      </c>
      <c r="H149" s="15">
        <v>12</v>
      </c>
      <c r="I149" s="14">
        <v>4856.22</v>
      </c>
      <c r="J149" s="14">
        <f>PRODUCT(Table1[[#This Row],[Quantity_Sold]],Table1[[#This Row],[Unit_Price]])</f>
        <v>58274.64</v>
      </c>
    </row>
    <row r="150" spans="1:10" x14ac:dyDescent="0.35">
      <c r="A150" s="15">
        <v>1069</v>
      </c>
      <c r="B150" s="16">
        <v>44958</v>
      </c>
      <c r="C150" s="13" t="s">
        <v>17</v>
      </c>
      <c r="D150" s="13" t="s">
        <v>10</v>
      </c>
      <c r="E150" s="13" t="s">
        <v>24</v>
      </c>
      <c r="F150" s="13" t="s">
        <v>16</v>
      </c>
      <c r="G150" s="13" t="s">
        <v>13</v>
      </c>
      <c r="H150" s="15">
        <v>18</v>
      </c>
      <c r="I150" s="14">
        <v>3219.58</v>
      </c>
      <c r="J150" s="14">
        <f>PRODUCT(Table1[[#This Row],[Quantity_Sold]],Table1[[#This Row],[Unit_Price]])</f>
        <v>57952.44</v>
      </c>
    </row>
    <row r="151" spans="1:10" x14ac:dyDescent="0.35">
      <c r="A151" s="15">
        <v>1014</v>
      </c>
      <c r="B151" s="16">
        <v>45252</v>
      </c>
      <c r="C151" s="13" t="s">
        <v>14</v>
      </c>
      <c r="D151" s="13" t="s">
        <v>15</v>
      </c>
      <c r="E151" s="13" t="s">
        <v>24</v>
      </c>
      <c r="F151" s="13" t="s">
        <v>16</v>
      </c>
      <c r="G151" s="13" t="s">
        <v>23</v>
      </c>
      <c r="H151" s="15">
        <v>17</v>
      </c>
      <c r="I151" s="14">
        <v>3204.01</v>
      </c>
      <c r="J151" s="14">
        <f>PRODUCT(Table1[[#This Row],[Quantity_Sold]],Table1[[#This Row],[Unit_Price]])</f>
        <v>54468.170000000006</v>
      </c>
    </row>
    <row r="152" spans="1:10" x14ac:dyDescent="0.35">
      <c r="A152" s="15">
        <v>1041</v>
      </c>
      <c r="B152" s="16">
        <v>45163</v>
      </c>
      <c r="C152" s="13" t="s">
        <v>9</v>
      </c>
      <c r="D152" s="13" t="s">
        <v>15</v>
      </c>
      <c r="E152" s="13" t="s">
        <v>11</v>
      </c>
      <c r="F152" s="13" t="s">
        <v>12</v>
      </c>
      <c r="G152" s="13" t="s">
        <v>13</v>
      </c>
      <c r="H152" s="15">
        <v>31</v>
      </c>
      <c r="I152" s="14">
        <v>1756.34</v>
      </c>
      <c r="J152" s="14">
        <f>PRODUCT(Table1[[#This Row],[Quantity_Sold]],Table1[[#This Row],[Unit_Price]])</f>
        <v>54446.54</v>
      </c>
    </row>
    <row r="153" spans="1:10" x14ac:dyDescent="0.35">
      <c r="A153" s="15">
        <v>1033</v>
      </c>
      <c r="B153" s="16">
        <v>45058</v>
      </c>
      <c r="C153" s="13" t="s">
        <v>9</v>
      </c>
      <c r="D153" s="13" t="s">
        <v>10</v>
      </c>
      <c r="E153" s="13" t="s">
        <v>24</v>
      </c>
      <c r="F153" s="13" t="s">
        <v>16</v>
      </c>
      <c r="G153" s="13" t="s">
        <v>13</v>
      </c>
      <c r="H153" s="15">
        <v>16</v>
      </c>
      <c r="I153" s="14">
        <v>3397.36</v>
      </c>
      <c r="J153" s="14">
        <f>PRODUCT(Table1[[#This Row],[Quantity_Sold]],Table1[[#This Row],[Unit_Price]])</f>
        <v>54357.760000000002</v>
      </c>
    </row>
    <row r="154" spans="1:10" x14ac:dyDescent="0.35">
      <c r="A154" s="15">
        <v>1001</v>
      </c>
      <c r="B154" s="16">
        <v>45209</v>
      </c>
      <c r="C154" s="13" t="s">
        <v>14</v>
      </c>
      <c r="D154" s="13" t="s">
        <v>10</v>
      </c>
      <c r="E154" s="13" t="s">
        <v>11</v>
      </c>
      <c r="F154" s="13" t="s">
        <v>16</v>
      </c>
      <c r="G154" s="13" t="s">
        <v>23</v>
      </c>
      <c r="H154" s="15">
        <v>18</v>
      </c>
      <c r="I154" s="14">
        <v>3013.49</v>
      </c>
      <c r="J154" s="14">
        <f>PRODUCT(Table1[[#This Row],[Quantity_Sold]],Table1[[#This Row],[Unit_Price]])</f>
        <v>54242.819999999992</v>
      </c>
    </row>
    <row r="155" spans="1:10" x14ac:dyDescent="0.35">
      <c r="A155" s="15">
        <v>1002</v>
      </c>
      <c r="B155" s="16">
        <v>45213</v>
      </c>
      <c r="C155" s="13" t="s">
        <v>14</v>
      </c>
      <c r="D155" s="13" t="s">
        <v>21</v>
      </c>
      <c r="E155" s="13" t="s">
        <v>24</v>
      </c>
      <c r="F155" s="13" t="s">
        <v>16</v>
      </c>
      <c r="G155" s="13" t="s">
        <v>23</v>
      </c>
      <c r="H155" s="15">
        <v>39</v>
      </c>
      <c r="I155" s="14">
        <v>1389.35</v>
      </c>
      <c r="J155" s="14">
        <f>PRODUCT(Table1[[#This Row],[Quantity_Sold]],Table1[[#This Row],[Unit_Price]])</f>
        <v>54184.649999999994</v>
      </c>
    </row>
    <row r="156" spans="1:10" x14ac:dyDescent="0.35">
      <c r="A156" s="15">
        <v>1028</v>
      </c>
      <c r="B156" s="16">
        <v>44973</v>
      </c>
      <c r="C156" s="13" t="s">
        <v>9</v>
      </c>
      <c r="D156" s="13" t="s">
        <v>22</v>
      </c>
      <c r="E156" s="13" t="s">
        <v>11</v>
      </c>
      <c r="F156" s="13" t="s">
        <v>20</v>
      </c>
      <c r="G156" s="13" t="s">
        <v>23</v>
      </c>
      <c r="H156" s="15">
        <v>24</v>
      </c>
      <c r="I156" s="14">
        <v>2241.96</v>
      </c>
      <c r="J156" s="14">
        <f>PRODUCT(Table1[[#This Row],[Quantity_Sold]],Table1[[#This Row],[Unit_Price]])</f>
        <v>53807.040000000001</v>
      </c>
    </row>
    <row r="157" spans="1:10" x14ac:dyDescent="0.35">
      <c r="A157" s="15">
        <v>1004</v>
      </c>
      <c r="B157" s="16">
        <v>45282</v>
      </c>
      <c r="C157" s="13" t="s">
        <v>17</v>
      </c>
      <c r="D157" s="13" t="s">
        <v>21</v>
      </c>
      <c r="E157" s="13" t="s">
        <v>24</v>
      </c>
      <c r="F157" s="13" t="s">
        <v>12</v>
      </c>
      <c r="G157" s="13" t="s">
        <v>23</v>
      </c>
      <c r="H157" s="15">
        <v>11</v>
      </c>
      <c r="I157" s="14">
        <v>4884.29</v>
      </c>
      <c r="J157" s="14">
        <f>PRODUCT(Table1[[#This Row],[Quantity_Sold]],Table1[[#This Row],[Unit_Price]])</f>
        <v>53727.19</v>
      </c>
    </row>
    <row r="158" spans="1:10" x14ac:dyDescent="0.35">
      <c r="A158" s="15">
        <v>1051</v>
      </c>
      <c r="B158" s="16">
        <v>44930</v>
      </c>
      <c r="C158" s="13" t="s">
        <v>17</v>
      </c>
      <c r="D158" s="13" t="s">
        <v>22</v>
      </c>
      <c r="E158" s="13" t="s">
        <v>24</v>
      </c>
      <c r="F158" s="13" t="s">
        <v>16</v>
      </c>
      <c r="G158" s="13" t="s">
        <v>13</v>
      </c>
      <c r="H158" s="15">
        <v>14</v>
      </c>
      <c r="I158" s="14">
        <v>3710.92</v>
      </c>
      <c r="J158" s="14">
        <f>PRODUCT(Table1[[#This Row],[Quantity_Sold]],Table1[[#This Row],[Unit_Price]])</f>
        <v>51952.880000000005</v>
      </c>
    </row>
    <row r="159" spans="1:10" x14ac:dyDescent="0.35">
      <c r="A159" s="15">
        <v>1003</v>
      </c>
      <c r="B159" s="16">
        <v>45183</v>
      </c>
      <c r="C159" s="13" t="s">
        <v>9</v>
      </c>
      <c r="D159" s="13" t="s">
        <v>21</v>
      </c>
      <c r="E159" s="13" t="s">
        <v>11</v>
      </c>
      <c r="F159" s="13" t="s">
        <v>20</v>
      </c>
      <c r="G159" s="13" t="s">
        <v>13</v>
      </c>
      <c r="H159" s="15">
        <v>15</v>
      </c>
      <c r="I159" s="14">
        <v>3388.84</v>
      </c>
      <c r="J159" s="14">
        <f>PRODUCT(Table1[[#This Row],[Quantity_Sold]],Table1[[#This Row],[Unit_Price]])</f>
        <v>50832.600000000006</v>
      </c>
    </row>
    <row r="160" spans="1:10" x14ac:dyDescent="0.35">
      <c r="A160" s="15">
        <v>1064</v>
      </c>
      <c r="B160" s="16">
        <v>44930</v>
      </c>
      <c r="C160" s="13" t="s">
        <v>17</v>
      </c>
      <c r="D160" s="13" t="s">
        <v>22</v>
      </c>
      <c r="E160" s="13" t="s">
        <v>24</v>
      </c>
      <c r="F160" s="13" t="s">
        <v>12</v>
      </c>
      <c r="G160" s="13" t="s">
        <v>23</v>
      </c>
      <c r="H160" s="15">
        <v>10</v>
      </c>
      <c r="I160" s="14">
        <v>5074.42</v>
      </c>
      <c r="J160" s="14">
        <f>PRODUCT(Table1[[#This Row],[Quantity_Sold]],Table1[[#This Row],[Unit_Price]])</f>
        <v>50744.2</v>
      </c>
    </row>
    <row r="161" spans="1:10" x14ac:dyDescent="0.35">
      <c r="A161" s="15">
        <v>1057</v>
      </c>
      <c r="B161" s="16">
        <v>45187</v>
      </c>
      <c r="C161" s="13" t="s">
        <v>19</v>
      </c>
      <c r="D161" s="13" t="s">
        <v>15</v>
      </c>
      <c r="E161" s="13" t="s">
        <v>24</v>
      </c>
      <c r="F161" s="13" t="s">
        <v>16</v>
      </c>
      <c r="G161" s="13" t="s">
        <v>13</v>
      </c>
      <c r="H161" s="15">
        <v>25</v>
      </c>
      <c r="I161" s="14">
        <v>2027.74</v>
      </c>
      <c r="J161" s="14">
        <f>PRODUCT(Table1[[#This Row],[Quantity_Sold]],Table1[[#This Row],[Unit_Price]])</f>
        <v>50693.5</v>
      </c>
    </row>
    <row r="162" spans="1:10" x14ac:dyDescent="0.35">
      <c r="A162" s="15">
        <v>1080</v>
      </c>
      <c r="B162" s="16">
        <v>45162</v>
      </c>
      <c r="C162" s="13" t="s">
        <v>9</v>
      </c>
      <c r="D162" s="13" t="s">
        <v>10</v>
      </c>
      <c r="E162" s="13" t="s">
        <v>11</v>
      </c>
      <c r="F162" s="13" t="s">
        <v>12</v>
      </c>
      <c r="G162" s="13" t="s">
        <v>13</v>
      </c>
      <c r="H162" s="15">
        <v>17</v>
      </c>
      <c r="I162" s="14">
        <v>2979.64</v>
      </c>
      <c r="J162" s="14">
        <f>PRODUCT(Table1[[#This Row],[Quantity_Sold]],Table1[[#This Row],[Unit_Price]])</f>
        <v>50653.88</v>
      </c>
    </row>
    <row r="163" spans="1:10" x14ac:dyDescent="0.35">
      <c r="A163" s="15">
        <v>1094</v>
      </c>
      <c r="B163" s="16">
        <v>44936</v>
      </c>
      <c r="C163" s="13" t="s">
        <v>17</v>
      </c>
      <c r="D163" s="13" t="s">
        <v>22</v>
      </c>
      <c r="E163" s="13" t="s">
        <v>24</v>
      </c>
      <c r="F163" s="13" t="s">
        <v>16</v>
      </c>
      <c r="G163" s="13" t="s">
        <v>23</v>
      </c>
      <c r="H163" s="15">
        <v>25</v>
      </c>
      <c r="I163" s="14">
        <v>1982.92</v>
      </c>
      <c r="J163" s="14">
        <f>PRODUCT(Table1[[#This Row],[Quantity_Sold]],Table1[[#This Row],[Unit_Price]])</f>
        <v>49573</v>
      </c>
    </row>
    <row r="164" spans="1:10" x14ac:dyDescent="0.35">
      <c r="A164" s="15">
        <v>1100</v>
      </c>
      <c r="B164" s="16">
        <v>45152</v>
      </c>
      <c r="C164" s="13" t="s">
        <v>9</v>
      </c>
      <c r="D164" s="13" t="s">
        <v>15</v>
      </c>
      <c r="E164" s="13" t="s">
        <v>11</v>
      </c>
      <c r="F164" s="13" t="s">
        <v>16</v>
      </c>
      <c r="G164" s="13" t="s">
        <v>23</v>
      </c>
      <c r="H164" s="15">
        <v>43</v>
      </c>
      <c r="I164" s="14">
        <v>1137.44</v>
      </c>
      <c r="J164" s="14">
        <f>PRODUCT(Table1[[#This Row],[Quantity_Sold]],Table1[[#This Row],[Unit_Price]])</f>
        <v>48909.920000000006</v>
      </c>
    </row>
    <row r="165" spans="1:10" x14ac:dyDescent="0.35">
      <c r="A165" s="15">
        <v>1088</v>
      </c>
      <c r="B165" s="16">
        <v>45217</v>
      </c>
      <c r="C165" s="13" t="s">
        <v>17</v>
      </c>
      <c r="D165" s="13" t="s">
        <v>10</v>
      </c>
      <c r="E165" s="13" t="s">
        <v>24</v>
      </c>
      <c r="F165" s="13" t="s">
        <v>16</v>
      </c>
      <c r="G165" s="13" t="s">
        <v>13</v>
      </c>
      <c r="H165" s="15">
        <v>16</v>
      </c>
      <c r="I165" s="14">
        <v>3040.73</v>
      </c>
      <c r="J165" s="14">
        <f>PRODUCT(Table1[[#This Row],[Quantity_Sold]],Table1[[#This Row],[Unit_Price]])</f>
        <v>48651.68</v>
      </c>
    </row>
    <row r="166" spans="1:10" x14ac:dyDescent="0.35">
      <c r="A166" s="15">
        <v>1075</v>
      </c>
      <c r="B166" s="16">
        <v>45208</v>
      </c>
      <c r="C166" s="13" t="s">
        <v>19</v>
      </c>
      <c r="D166" s="13" t="s">
        <v>21</v>
      </c>
      <c r="E166" s="13" t="s">
        <v>24</v>
      </c>
      <c r="F166" s="13" t="s">
        <v>16</v>
      </c>
      <c r="G166" s="13" t="s">
        <v>23</v>
      </c>
      <c r="H166" s="15">
        <v>18</v>
      </c>
      <c r="I166" s="14">
        <v>2682.34</v>
      </c>
      <c r="J166" s="14">
        <f>PRODUCT(Table1[[#This Row],[Quantity_Sold]],Table1[[#This Row],[Unit_Price]])</f>
        <v>48282.12</v>
      </c>
    </row>
    <row r="167" spans="1:10" x14ac:dyDescent="0.35">
      <c r="A167" s="15">
        <v>1090</v>
      </c>
      <c r="B167" s="16">
        <v>44939</v>
      </c>
      <c r="C167" s="13" t="s">
        <v>18</v>
      </c>
      <c r="D167" s="13" t="s">
        <v>21</v>
      </c>
      <c r="E167" s="13" t="s">
        <v>11</v>
      </c>
      <c r="F167" s="13" t="s">
        <v>16</v>
      </c>
      <c r="G167" s="13" t="s">
        <v>13</v>
      </c>
      <c r="H167" s="15">
        <v>17</v>
      </c>
      <c r="I167" s="14">
        <v>2839.73</v>
      </c>
      <c r="J167" s="14">
        <f>PRODUCT(Table1[[#This Row],[Quantity_Sold]],Table1[[#This Row],[Unit_Price]])</f>
        <v>48275.41</v>
      </c>
    </row>
    <row r="168" spans="1:10" x14ac:dyDescent="0.35">
      <c r="A168" s="15">
        <v>1085</v>
      </c>
      <c r="B168" s="16">
        <v>45244</v>
      </c>
      <c r="C168" s="13" t="s">
        <v>19</v>
      </c>
      <c r="D168" s="13" t="s">
        <v>10</v>
      </c>
      <c r="E168" s="13" t="s">
        <v>11</v>
      </c>
      <c r="F168" s="13" t="s">
        <v>20</v>
      </c>
      <c r="G168" s="13" t="s">
        <v>13</v>
      </c>
      <c r="H168" s="15">
        <v>32</v>
      </c>
      <c r="I168" s="14">
        <v>1492.48</v>
      </c>
      <c r="J168" s="14">
        <f>PRODUCT(Table1[[#This Row],[Quantity_Sold]],Table1[[#This Row],[Unit_Price]])</f>
        <v>47759.360000000001</v>
      </c>
    </row>
    <row r="169" spans="1:10" x14ac:dyDescent="0.35">
      <c r="A169" s="15">
        <v>1072</v>
      </c>
      <c r="B169" s="16">
        <v>45286</v>
      </c>
      <c r="C169" s="13" t="s">
        <v>19</v>
      </c>
      <c r="D169" s="13" t="s">
        <v>10</v>
      </c>
      <c r="E169" s="13" t="s">
        <v>24</v>
      </c>
      <c r="F169" s="13" t="s">
        <v>16</v>
      </c>
      <c r="G169" s="13" t="s">
        <v>23</v>
      </c>
      <c r="H169" s="15">
        <v>23</v>
      </c>
      <c r="I169" s="14">
        <v>2074.25</v>
      </c>
      <c r="J169" s="14">
        <f>PRODUCT(Table1[[#This Row],[Quantity_Sold]],Table1[[#This Row],[Unit_Price]])</f>
        <v>47707.75</v>
      </c>
    </row>
    <row r="170" spans="1:10" x14ac:dyDescent="0.35">
      <c r="A170" s="15">
        <v>1044</v>
      </c>
      <c r="B170" s="16">
        <v>45069</v>
      </c>
      <c r="C170" s="13" t="s">
        <v>9</v>
      </c>
      <c r="D170" s="13" t="s">
        <v>15</v>
      </c>
      <c r="E170" s="13" t="s">
        <v>24</v>
      </c>
      <c r="F170" s="13" t="s">
        <v>16</v>
      </c>
      <c r="G170" s="13" t="s">
        <v>23</v>
      </c>
      <c r="H170" s="15">
        <v>19</v>
      </c>
      <c r="I170" s="14">
        <v>2504.0300000000002</v>
      </c>
      <c r="J170" s="14">
        <f>PRODUCT(Table1[[#This Row],[Quantity_Sold]],Table1[[#This Row],[Unit_Price]])</f>
        <v>47576.570000000007</v>
      </c>
    </row>
    <row r="171" spans="1:10" x14ac:dyDescent="0.35">
      <c r="A171" s="15">
        <v>1059</v>
      </c>
      <c r="B171" s="16">
        <v>45018</v>
      </c>
      <c r="C171" s="13" t="s">
        <v>17</v>
      </c>
      <c r="D171" s="13" t="s">
        <v>15</v>
      </c>
      <c r="E171" s="13" t="s">
        <v>11</v>
      </c>
      <c r="F171" s="13" t="s">
        <v>12</v>
      </c>
      <c r="G171" s="13" t="s">
        <v>13</v>
      </c>
      <c r="H171" s="15">
        <v>12</v>
      </c>
      <c r="I171" s="14">
        <v>3955.75</v>
      </c>
      <c r="J171" s="14">
        <f>PRODUCT(Table1[[#This Row],[Quantity_Sold]],Table1[[#This Row],[Unit_Price]])</f>
        <v>47469</v>
      </c>
    </row>
    <row r="172" spans="1:10" x14ac:dyDescent="0.35">
      <c r="A172" s="15">
        <v>1047</v>
      </c>
      <c r="B172" s="16">
        <v>45146</v>
      </c>
      <c r="C172" s="13" t="s">
        <v>14</v>
      </c>
      <c r="D172" s="13" t="s">
        <v>22</v>
      </c>
      <c r="E172" s="13" t="s">
        <v>11</v>
      </c>
      <c r="F172" s="13" t="s">
        <v>20</v>
      </c>
      <c r="G172" s="13" t="s">
        <v>23</v>
      </c>
      <c r="H172" s="15">
        <v>33</v>
      </c>
      <c r="I172" s="14">
        <v>1427.21</v>
      </c>
      <c r="J172" s="14">
        <f>PRODUCT(Table1[[#This Row],[Quantity_Sold]],Table1[[#This Row],[Unit_Price]])</f>
        <v>47097.93</v>
      </c>
    </row>
    <row r="173" spans="1:10" x14ac:dyDescent="0.35">
      <c r="A173" s="15">
        <v>1001</v>
      </c>
      <c r="B173" s="16">
        <v>45141</v>
      </c>
      <c r="C173" s="13" t="s">
        <v>9</v>
      </c>
      <c r="D173" s="13" t="s">
        <v>15</v>
      </c>
      <c r="E173" s="13" t="s">
        <v>11</v>
      </c>
      <c r="F173" s="13" t="s">
        <v>12</v>
      </c>
      <c r="G173" s="13" t="s">
        <v>13</v>
      </c>
      <c r="H173" s="15">
        <v>20</v>
      </c>
      <c r="I173" s="14">
        <v>2303.6999999999998</v>
      </c>
      <c r="J173" s="14">
        <f>PRODUCT(Table1[[#This Row],[Quantity_Sold]],Table1[[#This Row],[Unit_Price]])</f>
        <v>46074</v>
      </c>
    </row>
    <row r="174" spans="1:10" x14ac:dyDescent="0.35">
      <c r="A174" s="15">
        <v>1006</v>
      </c>
      <c r="B174" s="16">
        <v>45083</v>
      </c>
      <c r="C174" s="13" t="s">
        <v>9</v>
      </c>
      <c r="D174" s="13" t="s">
        <v>22</v>
      </c>
      <c r="E174" s="13" t="s">
        <v>24</v>
      </c>
      <c r="F174" s="13" t="s">
        <v>16</v>
      </c>
      <c r="G174" s="13" t="s">
        <v>13</v>
      </c>
      <c r="H174" s="15">
        <v>21</v>
      </c>
      <c r="I174" s="14">
        <v>2193.2199999999998</v>
      </c>
      <c r="J174" s="14">
        <f>PRODUCT(Table1[[#This Row],[Quantity_Sold]],Table1[[#This Row],[Unit_Price]])</f>
        <v>46057.619999999995</v>
      </c>
    </row>
    <row r="175" spans="1:10" x14ac:dyDescent="0.35">
      <c r="A175" s="15">
        <v>1051</v>
      </c>
      <c r="B175" s="16">
        <v>45020</v>
      </c>
      <c r="C175" s="13" t="s">
        <v>9</v>
      </c>
      <c r="D175" s="13" t="s">
        <v>22</v>
      </c>
      <c r="E175" s="13" t="s">
        <v>11</v>
      </c>
      <c r="F175" s="13" t="s">
        <v>12</v>
      </c>
      <c r="G175" s="13" t="s">
        <v>23</v>
      </c>
      <c r="H175" s="15">
        <v>12</v>
      </c>
      <c r="I175" s="14">
        <v>3723.66</v>
      </c>
      <c r="J175" s="14">
        <f>PRODUCT(Table1[[#This Row],[Quantity_Sold]],Table1[[#This Row],[Unit_Price]])</f>
        <v>44683.92</v>
      </c>
    </row>
    <row r="176" spans="1:10" x14ac:dyDescent="0.35">
      <c r="A176" s="15">
        <v>1055</v>
      </c>
      <c r="B176" s="16">
        <v>45075</v>
      </c>
      <c r="C176" s="13" t="s">
        <v>17</v>
      </c>
      <c r="D176" s="13" t="s">
        <v>10</v>
      </c>
      <c r="E176" s="13" t="s">
        <v>24</v>
      </c>
      <c r="F176" s="13" t="s">
        <v>16</v>
      </c>
      <c r="G176" s="13" t="s">
        <v>23</v>
      </c>
      <c r="H176" s="15">
        <v>40</v>
      </c>
      <c r="I176" s="14">
        <v>1111.4100000000001</v>
      </c>
      <c r="J176" s="14">
        <f>PRODUCT(Table1[[#This Row],[Quantity_Sold]],Table1[[#This Row],[Unit_Price]])</f>
        <v>44456.4</v>
      </c>
    </row>
    <row r="177" spans="1:10" x14ac:dyDescent="0.35">
      <c r="A177" s="15">
        <v>1056</v>
      </c>
      <c r="B177" s="16">
        <v>45053</v>
      </c>
      <c r="C177" s="13" t="s">
        <v>14</v>
      </c>
      <c r="D177" s="13" t="s">
        <v>21</v>
      </c>
      <c r="E177" s="13" t="s">
        <v>11</v>
      </c>
      <c r="F177" s="13" t="s">
        <v>16</v>
      </c>
      <c r="G177" s="13" t="s">
        <v>23</v>
      </c>
      <c r="H177" s="15">
        <v>28</v>
      </c>
      <c r="I177" s="14">
        <v>1576.34</v>
      </c>
      <c r="J177" s="14">
        <f>PRODUCT(Table1[[#This Row],[Quantity_Sold]],Table1[[#This Row],[Unit_Price]])</f>
        <v>44137.52</v>
      </c>
    </row>
    <row r="178" spans="1:10" x14ac:dyDescent="0.35">
      <c r="A178" s="15">
        <v>1066</v>
      </c>
      <c r="B178" s="16">
        <v>45110</v>
      </c>
      <c r="C178" s="13" t="s">
        <v>19</v>
      </c>
      <c r="D178" s="13" t="s">
        <v>10</v>
      </c>
      <c r="E178" s="13" t="s">
        <v>11</v>
      </c>
      <c r="F178" s="13" t="s">
        <v>16</v>
      </c>
      <c r="G178" s="13" t="s">
        <v>13</v>
      </c>
      <c r="H178" s="15">
        <v>15</v>
      </c>
      <c r="I178" s="14">
        <v>2867.36</v>
      </c>
      <c r="J178" s="14">
        <f>PRODUCT(Table1[[#This Row],[Quantity_Sold]],Table1[[#This Row],[Unit_Price]])</f>
        <v>43010.400000000001</v>
      </c>
    </row>
    <row r="179" spans="1:10" x14ac:dyDescent="0.35">
      <c r="A179" s="15">
        <v>1041</v>
      </c>
      <c r="B179" s="16">
        <v>45246</v>
      </c>
      <c r="C179" s="13" t="s">
        <v>14</v>
      </c>
      <c r="D179" s="13" t="s">
        <v>15</v>
      </c>
      <c r="E179" s="13" t="s">
        <v>24</v>
      </c>
      <c r="F179" s="13" t="s">
        <v>12</v>
      </c>
      <c r="G179" s="13" t="s">
        <v>23</v>
      </c>
      <c r="H179" s="15">
        <v>40</v>
      </c>
      <c r="I179" s="14">
        <v>1067.53</v>
      </c>
      <c r="J179" s="14">
        <f>PRODUCT(Table1[[#This Row],[Quantity_Sold]],Table1[[#This Row],[Unit_Price]])</f>
        <v>42701.2</v>
      </c>
    </row>
    <row r="180" spans="1:10" x14ac:dyDescent="0.35">
      <c r="A180" s="15">
        <v>1015</v>
      </c>
      <c r="B180" s="16">
        <v>45149</v>
      </c>
      <c r="C180" s="13" t="s">
        <v>17</v>
      </c>
      <c r="D180" s="13" t="s">
        <v>10</v>
      </c>
      <c r="E180" s="13" t="s">
        <v>11</v>
      </c>
      <c r="F180" s="13" t="s">
        <v>12</v>
      </c>
      <c r="G180" s="13" t="s">
        <v>13</v>
      </c>
      <c r="H180" s="15">
        <v>32</v>
      </c>
      <c r="I180" s="14">
        <v>1330.84</v>
      </c>
      <c r="J180" s="14">
        <f>PRODUCT(Table1[[#This Row],[Quantity_Sold]],Table1[[#This Row],[Unit_Price]])</f>
        <v>42586.879999999997</v>
      </c>
    </row>
    <row r="181" spans="1:10" x14ac:dyDescent="0.35">
      <c r="A181" s="15">
        <v>1003</v>
      </c>
      <c r="B181" s="16">
        <v>45254</v>
      </c>
      <c r="C181" s="13" t="s">
        <v>17</v>
      </c>
      <c r="D181" s="13" t="s">
        <v>15</v>
      </c>
      <c r="E181" s="13" t="s">
        <v>24</v>
      </c>
      <c r="F181" s="13" t="s">
        <v>20</v>
      </c>
      <c r="G181" s="13" t="s">
        <v>13</v>
      </c>
      <c r="H181" s="15">
        <v>11</v>
      </c>
      <c r="I181" s="14">
        <v>3862.26</v>
      </c>
      <c r="J181" s="14">
        <f>PRODUCT(Table1[[#This Row],[Quantity_Sold]],Table1[[#This Row],[Unit_Price]])</f>
        <v>42484.86</v>
      </c>
    </row>
    <row r="182" spans="1:10" x14ac:dyDescent="0.35">
      <c r="A182" s="15">
        <v>1062</v>
      </c>
      <c r="B182" s="16">
        <v>45231</v>
      </c>
      <c r="C182" s="13" t="s">
        <v>9</v>
      </c>
      <c r="D182" s="13" t="s">
        <v>15</v>
      </c>
      <c r="E182" s="13" t="s">
        <v>24</v>
      </c>
      <c r="F182" s="13" t="s">
        <v>12</v>
      </c>
      <c r="G182" s="13" t="s">
        <v>23</v>
      </c>
      <c r="H182" s="15">
        <v>36</v>
      </c>
      <c r="I182" s="14">
        <v>1167.33</v>
      </c>
      <c r="J182" s="14">
        <f>PRODUCT(Table1[[#This Row],[Quantity_Sold]],Table1[[#This Row],[Unit_Price]])</f>
        <v>42023.88</v>
      </c>
    </row>
    <row r="183" spans="1:10" x14ac:dyDescent="0.35">
      <c r="A183" s="15">
        <v>1038</v>
      </c>
      <c r="B183" s="16">
        <v>44996</v>
      </c>
      <c r="C183" s="13" t="s">
        <v>9</v>
      </c>
      <c r="D183" s="13" t="s">
        <v>21</v>
      </c>
      <c r="E183" s="13" t="s">
        <v>11</v>
      </c>
      <c r="F183" s="13" t="s">
        <v>12</v>
      </c>
      <c r="G183" s="13" t="s">
        <v>23</v>
      </c>
      <c r="H183" s="15">
        <v>15</v>
      </c>
      <c r="I183" s="14">
        <v>2790.1</v>
      </c>
      <c r="J183" s="14">
        <f>PRODUCT(Table1[[#This Row],[Quantity_Sold]],Table1[[#This Row],[Unit_Price]])</f>
        <v>41851.5</v>
      </c>
    </row>
    <row r="184" spans="1:10" x14ac:dyDescent="0.35">
      <c r="A184" s="15">
        <v>1008</v>
      </c>
      <c r="B184" s="16">
        <v>45212</v>
      </c>
      <c r="C184" s="13" t="s">
        <v>17</v>
      </c>
      <c r="D184" s="13" t="s">
        <v>22</v>
      </c>
      <c r="E184" s="13" t="s">
        <v>11</v>
      </c>
      <c r="F184" s="13" t="s">
        <v>16</v>
      </c>
      <c r="G184" s="13" t="s">
        <v>13</v>
      </c>
      <c r="H184" s="15">
        <v>24</v>
      </c>
      <c r="I184" s="14">
        <v>1739.45</v>
      </c>
      <c r="J184" s="14">
        <f>PRODUCT(Table1[[#This Row],[Quantity_Sold]],Table1[[#This Row],[Unit_Price]])</f>
        <v>41746.800000000003</v>
      </c>
    </row>
    <row r="185" spans="1:10" x14ac:dyDescent="0.35">
      <c r="A185" s="15">
        <v>1019</v>
      </c>
      <c r="B185" s="16">
        <v>45070</v>
      </c>
      <c r="C185" s="13" t="s">
        <v>17</v>
      </c>
      <c r="D185" s="13" t="s">
        <v>15</v>
      </c>
      <c r="E185" s="13" t="s">
        <v>24</v>
      </c>
      <c r="F185" s="13" t="s">
        <v>12</v>
      </c>
      <c r="G185" s="13" t="s">
        <v>23</v>
      </c>
      <c r="H185" s="15">
        <v>13</v>
      </c>
      <c r="I185" s="14">
        <v>3202.68</v>
      </c>
      <c r="J185" s="14">
        <f>PRODUCT(Table1[[#This Row],[Quantity_Sold]],Table1[[#This Row],[Unit_Price]])</f>
        <v>41634.839999999997</v>
      </c>
    </row>
    <row r="186" spans="1:10" x14ac:dyDescent="0.35">
      <c r="A186" s="15">
        <v>1034</v>
      </c>
      <c r="B186" s="16">
        <v>45056</v>
      </c>
      <c r="C186" s="13" t="s">
        <v>17</v>
      </c>
      <c r="D186" s="13" t="s">
        <v>21</v>
      </c>
      <c r="E186" s="13" t="s">
        <v>11</v>
      </c>
      <c r="F186" s="13" t="s">
        <v>20</v>
      </c>
      <c r="G186" s="13" t="s">
        <v>13</v>
      </c>
      <c r="H186" s="15">
        <v>19</v>
      </c>
      <c r="I186" s="14">
        <v>2180.83</v>
      </c>
      <c r="J186" s="14">
        <f>PRODUCT(Table1[[#This Row],[Quantity_Sold]],Table1[[#This Row],[Unit_Price]])</f>
        <v>41435.769999999997</v>
      </c>
    </row>
    <row r="187" spans="1:10" x14ac:dyDescent="0.35">
      <c r="A187" s="15">
        <v>1081</v>
      </c>
      <c r="B187" s="16">
        <v>44931</v>
      </c>
      <c r="C187" s="13" t="s">
        <v>9</v>
      </c>
      <c r="D187" s="13" t="s">
        <v>15</v>
      </c>
      <c r="E187" s="13" t="s">
        <v>11</v>
      </c>
      <c r="F187" s="13" t="s">
        <v>12</v>
      </c>
      <c r="G187" s="13" t="s">
        <v>23</v>
      </c>
      <c r="H187" s="15">
        <v>44</v>
      </c>
      <c r="I187" s="14">
        <v>938.04</v>
      </c>
      <c r="J187" s="14">
        <f>PRODUCT(Table1[[#This Row],[Quantity_Sold]],Table1[[#This Row],[Unit_Price]])</f>
        <v>41273.759999999995</v>
      </c>
    </row>
    <row r="188" spans="1:10" x14ac:dyDescent="0.35">
      <c r="A188" s="15">
        <v>1097</v>
      </c>
      <c r="B188" s="16">
        <v>45193</v>
      </c>
      <c r="C188" s="13" t="s">
        <v>18</v>
      </c>
      <c r="D188" s="13" t="s">
        <v>15</v>
      </c>
      <c r="E188" s="13" t="s">
        <v>11</v>
      </c>
      <c r="F188" s="13" t="s">
        <v>20</v>
      </c>
      <c r="G188" s="13" t="s">
        <v>13</v>
      </c>
      <c r="H188" s="15">
        <v>9</v>
      </c>
      <c r="I188" s="14">
        <v>4548.09</v>
      </c>
      <c r="J188" s="14">
        <f>PRODUCT(Table1[[#This Row],[Quantity_Sold]],Table1[[#This Row],[Unit_Price]])</f>
        <v>40932.81</v>
      </c>
    </row>
    <row r="189" spans="1:10" x14ac:dyDescent="0.35">
      <c r="A189" s="15">
        <v>1002</v>
      </c>
      <c r="B189" s="16">
        <v>45038</v>
      </c>
      <c r="C189" s="13" t="s">
        <v>17</v>
      </c>
      <c r="D189" s="13" t="s">
        <v>22</v>
      </c>
      <c r="E189" s="13" t="s">
        <v>24</v>
      </c>
      <c r="F189" s="13" t="s">
        <v>16</v>
      </c>
      <c r="G189" s="13" t="s">
        <v>23</v>
      </c>
      <c r="H189" s="15">
        <v>9</v>
      </c>
      <c r="I189" s="14">
        <v>4439.12</v>
      </c>
      <c r="J189" s="14">
        <f>PRODUCT(Table1[[#This Row],[Quantity_Sold]],Table1[[#This Row],[Unit_Price]])</f>
        <v>39952.080000000002</v>
      </c>
    </row>
    <row r="190" spans="1:10" x14ac:dyDescent="0.35">
      <c r="A190" s="15">
        <v>1023</v>
      </c>
      <c r="B190" s="16">
        <v>45105</v>
      </c>
      <c r="C190" s="13" t="s">
        <v>17</v>
      </c>
      <c r="D190" s="13" t="s">
        <v>21</v>
      </c>
      <c r="E190" s="13" t="s">
        <v>11</v>
      </c>
      <c r="F190" s="13" t="s">
        <v>12</v>
      </c>
      <c r="G190" s="13" t="s">
        <v>13</v>
      </c>
      <c r="H190" s="15">
        <v>9</v>
      </c>
      <c r="I190" s="14">
        <v>4273.6000000000004</v>
      </c>
      <c r="J190" s="14">
        <f>PRODUCT(Table1[[#This Row],[Quantity_Sold]],Table1[[#This Row],[Unit_Price]])</f>
        <v>38462.400000000001</v>
      </c>
    </row>
    <row r="191" spans="1:10" x14ac:dyDescent="0.35">
      <c r="A191" s="15">
        <v>1092</v>
      </c>
      <c r="B191" s="16">
        <v>44955</v>
      </c>
      <c r="C191" s="13" t="s">
        <v>9</v>
      </c>
      <c r="D191" s="13" t="s">
        <v>21</v>
      </c>
      <c r="E191" s="13" t="s">
        <v>24</v>
      </c>
      <c r="F191" s="13" t="s">
        <v>20</v>
      </c>
      <c r="G191" s="13" t="s">
        <v>13</v>
      </c>
      <c r="H191" s="15">
        <v>13</v>
      </c>
      <c r="I191" s="14">
        <v>2913.78</v>
      </c>
      <c r="J191" s="14">
        <f>PRODUCT(Table1[[#This Row],[Quantity_Sold]],Table1[[#This Row],[Unit_Price]])</f>
        <v>37879.14</v>
      </c>
    </row>
    <row r="192" spans="1:10" x14ac:dyDescent="0.35">
      <c r="A192" s="15">
        <v>1040</v>
      </c>
      <c r="B192" s="16">
        <v>44995</v>
      </c>
      <c r="C192" s="13" t="s">
        <v>19</v>
      </c>
      <c r="D192" s="13" t="s">
        <v>21</v>
      </c>
      <c r="E192" s="13" t="s">
        <v>11</v>
      </c>
      <c r="F192" s="13" t="s">
        <v>20</v>
      </c>
      <c r="G192" s="13" t="s">
        <v>23</v>
      </c>
      <c r="H192" s="15">
        <v>13</v>
      </c>
      <c r="I192" s="14">
        <v>2882.85</v>
      </c>
      <c r="J192" s="14">
        <f>PRODUCT(Table1[[#This Row],[Quantity_Sold]],Table1[[#This Row],[Unit_Price]])</f>
        <v>37477.049999999996</v>
      </c>
    </row>
    <row r="193" spans="1:10" x14ac:dyDescent="0.35">
      <c r="A193" s="15">
        <v>1042</v>
      </c>
      <c r="B193" s="16">
        <v>45115</v>
      </c>
      <c r="C193" s="13" t="s">
        <v>18</v>
      </c>
      <c r="D193" s="13" t="s">
        <v>22</v>
      </c>
      <c r="E193" s="13" t="s">
        <v>11</v>
      </c>
      <c r="F193" s="13" t="s">
        <v>20</v>
      </c>
      <c r="G193" s="13" t="s">
        <v>13</v>
      </c>
      <c r="H193" s="15">
        <v>23</v>
      </c>
      <c r="I193" s="14">
        <v>1567.78</v>
      </c>
      <c r="J193" s="14">
        <f>PRODUCT(Table1[[#This Row],[Quantity_Sold]],Table1[[#This Row],[Unit_Price]])</f>
        <v>36058.94</v>
      </c>
    </row>
    <row r="194" spans="1:10" x14ac:dyDescent="0.35">
      <c r="A194" s="15">
        <v>1058</v>
      </c>
      <c r="B194" s="16">
        <v>45021</v>
      </c>
      <c r="C194" s="13" t="s">
        <v>18</v>
      </c>
      <c r="D194" s="13" t="s">
        <v>10</v>
      </c>
      <c r="E194" s="13" t="s">
        <v>11</v>
      </c>
      <c r="F194" s="13" t="s">
        <v>16</v>
      </c>
      <c r="G194" s="13" t="s">
        <v>13</v>
      </c>
      <c r="H194" s="15">
        <v>33</v>
      </c>
      <c r="I194" s="14">
        <v>1084.28</v>
      </c>
      <c r="J194" s="14">
        <f>PRODUCT(Table1[[#This Row],[Quantity_Sold]],Table1[[#This Row],[Unit_Price]])</f>
        <v>35781.24</v>
      </c>
    </row>
    <row r="195" spans="1:10" x14ac:dyDescent="0.35">
      <c r="A195" s="15">
        <v>1021</v>
      </c>
      <c r="B195" s="16">
        <v>44968</v>
      </c>
      <c r="C195" s="13" t="s">
        <v>19</v>
      </c>
      <c r="D195" s="13" t="s">
        <v>15</v>
      </c>
      <c r="E195" s="13" t="s">
        <v>24</v>
      </c>
      <c r="F195" s="13" t="s">
        <v>12</v>
      </c>
      <c r="G195" s="13" t="s">
        <v>23</v>
      </c>
      <c r="H195" s="15">
        <v>32</v>
      </c>
      <c r="I195" s="14">
        <v>1106.51</v>
      </c>
      <c r="J195" s="14">
        <f>PRODUCT(Table1[[#This Row],[Quantity_Sold]],Table1[[#This Row],[Unit_Price]])</f>
        <v>35408.32</v>
      </c>
    </row>
    <row r="196" spans="1:10" x14ac:dyDescent="0.35">
      <c r="A196" s="15">
        <v>1064</v>
      </c>
      <c r="B196" s="16">
        <v>45060</v>
      </c>
      <c r="C196" s="13" t="s">
        <v>9</v>
      </c>
      <c r="D196" s="13" t="s">
        <v>22</v>
      </c>
      <c r="E196" s="13" t="s">
        <v>11</v>
      </c>
      <c r="F196" s="13" t="s">
        <v>12</v>
      </c>
      <c r="G196" s="13" t="s">
        <v>23</v>
      </c>
      <c r="H196" s="15">
        <v>8</v>
      </c>
      <c r="I196" s="14">
        <v>4417.79</v>
      </c>
      <c r="J196" s="14">
        <f>PRODUCT(Table1[[#This Row],[Quantity_Sold]],Table1[[#This Row],[Unit_Price]])</f>
        <v>35342.32</v>
      </c>
    </row>
    <row r="197" spans="1:10" x14ac:dyDescent="0.35">
      <c r="A197" s="15">
        <v>1094</v>
      </c>
      <c r="B197" s="16">
        <v>44989</v>
      </c>
      <c r="C197" s="13" t="s">
        <v>9</v>
      </c>
      <c r="D197" s="13" t="s">
        <v>15</v>
      </c>
      <c r="E197" s="13" t="s">
        <v>11</v>
      </c>
      <c r="F197" s="13" t="s">
        <v>20</v>
      </c>
      <c r="G197" s="13" t="s">
        <v>13</v>
      </c>
      <c r="H197" s="15">
        <v>49</v>
      </c>
      <c r="I197" s="14">
        <v>715.84</v>
      </c>
      <c r="J197" s="14">
        <f>PRODUCT(Table1[[#This Row],[Quantity_Sold]],Table1[[#This Row],[Unit_Price]])</f>
        <v>35076.160000000003</v>
      </c>
    </row>
    <row r="198" spans="1:10" x14ac:dyDescent="0.35">
      <c r="A198" s="15">
        <v>1001</v>
      </c>
      <c r="B198" s="16">
        <v>44975</v>
      </c>
      <c r="C198" s="13" t="s">
        <v>14</v>
      </c>
      <c r="D198" s="13" t="s">
        <v>21</v>
      </c>
      <c r="E198" s="13" t="s">
        <v>11</v>
      </c>
      <c r="F198" s="13" t="s">
        <v>20</v>
      </c>
      <c r="G198" s="13" t="s">
        <v>13</v>
      </c>
      <c r="H198" s="15">
        <v>27</v>
      </c>
      <c r="I198" s="14">
        <v>1286.92</v>
      </c>
      <c r="J198" s="14">
        <f>PRODUCT(Table1[[#This Row],[Quantity_Sold]],Table1[[#This Row],[Unit_Price]])</f>
        <v>34746.840000000004</v>
      </c>
    </row>
    <row r="199" spans="1:10" x14ac:dyDescent="0.35">
      <c r="A199" s="15">
        <v>1037</v>
      </c>
      <c r="B199" s="16">
        <v>44949</v>
      </c>
      <c r="C199" s="13" t="s">
        <v>19</v>
      </c>
      <c r="D199" s="13" t="s">
        <v>15</v>
      </c>
      <c r="E199" s="13" t="s">
        <v>11</v>
      </c>
      <c r="F199" s="13" t="s">
        <v>20</v>
      </c>
      <c r="G199" s="13" t="s">
        <v>13</v>
      </c>
      <c r="H199" s="15">
        <v>25</v>
      </c>
      <c r="I199" s="14">
        <v>1382.43</v>
      </c>
      <c r="J199" s="14">
        <f>PRODUCT(Table1[[#This Row],[Quantity_Sold]],Table1[[#This Row],[Unit_Price]])</f>
        <v>34560.75</v>
      </c>
    </row>
    <row r="200" spans="1:10" x14ac:dyDescent="0.35">
      <c r="A200" s="15">
        <v>1009</v>
      </c>
      <c r="B200" s="16">
        <v>45037</v>
      </c>
      <c r="C200" s="13" t="s">
        <v>17</v>
      </c>
      <c r="D200" s="13" t="s">
        <v>21</v>
      </c>
      <c r="E200" s="13" t="s">
        <v>11</v>
      </c>
      <c r="F200" s="13" t="s">
        <v>16</v>
      </c>
      <c r="G200" s="13" t="s">
        <v>13</v>
      </c>
      <c r="H200" s="15">
        <v>47</v>
      </c>
      <c r="I200" s="14">
        <v>733</v>
      </c>
      <c r="J200" s="14">
        <f>PRODUCT(Table1[[#This Row],[Quantity_Sold]],Table1[[#This Row],[Unit_Price]])</f>
        <v>34451</v>
      </c>
    </row>
    <row r="201" spans="1:10" x14ac:dyDescent="0.35">
      <c r="A201" s="15">
        <v>1077</v>
      </c>
      <c r="B201" s="16">
        <v>44937</v>
      </c>
      <c r="C201" s="13" t="s">
        <v>17</v>
      </c>
      <c r="D201" s="13" t="s">
        <v>22</v>
      </c>
      <c r="E201" s="13" t="s">
        <v>11</v>
      </c>
      <c r="F201" s="13" t="s">
        <v>16</v>
      </c>
      <c r="G201" s="13" t="s">
        <v>13</v>
      </c>
      <c r="H201" s="15">
        <v>35</v>
      </c>
      <c r="I201" s="14">
        <v>970.49</v>
      </c>
      <c r="J201" s="14">
        <f>PRODUCT(Table1[[#This Row],[Quantity_Sold]],Table1[[#This Row],[Unit_Price]])</f>
        <v>33967.15</v>
      </c>
    </row>
    <row r="202" spans="1:10" x14ac:dyDescent="0.35">
      <c r="A202" s="15">
        <v>1054</v>
      </c>
      <c r="B202" s="16">
        <v>45222</v>
      </c>
      <c r="C202" s="13" t="s">
        <v>14</v>
      </c>
      <c r="D202" s="13" t="s">
        <v>15</v>
      </c>
      <c r="E202" s="13" t="s">
        <v>11</v>
      </c>
      <c r="F202" s="13" t="s">
        <v>16</v>
      </c>
      <c r="G202" s="13" t="s">
        <v>13</v>
      </c>
      <c r="H202" s="15">
        <v>8</v>
      </c>
      <c r="I202" s="14">
        <v>4177.0600000000004</v>
      </c>
      <c r="J202" s="14">
        <f>PRODUCT(Table1[[#This Row],[Quantity_Sold]],Table1[[#This Row],[Unit_Price]])</f>
        <v>33416.480000000003</v>
      </c>
    </row>
    <row r="203" spans="1:10" x14ac:dyDescent="0.35">
      <c r="A203" s="15">
        <v>1070</v>
      </c>
      <c r="B203" s="16">
        <v>45273</v>
      </c>
      <c r="C203" s="13" t="s">
        <v>18</v>
      </c>
      <c r="D203" s="13" t="s">
        <v>21</v>
      </c>
      <c r="E203" s="13" t="s">
        <v>11</v>
      </c>
      <c r="F203" s="13" t="s">
        <v>16</v>
      </c>
      <c r="G203" s="13" t="s">
        <v>23</v>
      </c>
      <c r="H203" s="15">
        <v>8</v>
      </c>
      <c r="I203" s="14">
        <v>4166.95</v>
      </c>
      <c r="J203" s="14">
        <f>PRODUCT(Table1[[#This Row],[Quantity_Sold]],Table1[[#This Row],[Unit_Price]])</f>
        <v>33335.599999999999</v>
      </c>
    </row>
    <row r="204" spans="1:10" x14ac:dyDescent="0.35">
      <c r="A204" s="15">
        <v>1011</v>
      </c>
      <c r="B204" s="16">
        <v>44951</v>
      </c>
      <c r="C204" s="13" t="s">
        <v>17</v>
      </c>
      <c r="D204" s="13" t="s">
        <v>22</v>
      </c>
      <c r="E204" s="13" t="s">
        <v>11</v>
      </c>
      <c r="F204" s="13" t="s">
        <v>12</v>
      </c>
      <c r="G204" s="13" t="s">
        <v>13</v>
      </c>
      <c r="H204" s="15">
        <v>22</v>
      </c>
      <c r="I204" s="14">
        <v>1510.3</v>
      </c>
      <c r="J204" s="14">
        <f>PRODUCT(Table1[[#This Row],[Quantity_Sold]],Table1[[#This Row],[Unit_Price]])</f>
        <v>33226.6</v>
      </c>
    </row>
    <row r="205" spans="1:10" x14ac:dyDescent="0.35">
      <c r="A205" s="15">
        <v>1048</v>
      </c>
      <c r="B205" s="16">
        <v>44945</v>
      </c>
      <c r="C205" s="13" t="s">
        <v>9</v>
      </c>
      <c r="D205" s="13" t="s">
        <v>21</v>
      </c>
      <c r="E205" s="13" t="s">
        <v>11</v>
      </c>
      <c r="F205" s="13" t="s">
        <v>20</v>
      </c>
      <c r="G205" s="13" t="s">
        <v>13</v>
      </c>
      <c r="H205" s="15">
        <v>7</v>
      </c>
      <c r="I205" s="14">
        <v>4723.2</v>
      </c>
      <c r="J205" s="14">
        <f>PRODUCT(Table1[[#This Row],[Quantity_Sold]],Table1[[#This Row],[Unit_Price]])</f>
        <v>33062.400000000001</v>
      </c>
    </row>
    <row r="206" spans="1:10" x14ac:dyDescent="0.35">
      <c r="A206" s="15">
        <v>1013</v>
      </c>
      <c r="B206" s="16">
        <v>45220</v>
      </c>
      <c r="C206" s="13" t="s">
        <v>14</v>
      </c>
      <c r="D206" s="13" t="s">
        <v>22</v>
      </c>
      <c r="E206" s="13" t="s">
        <v>11</v>
      </c>
      <c r="F206" s="13" t="s">
        <v>16</v>
      </c>
      <c r="G206" s="13" t="s">
        <v>23</v>
      </c>
      <c r="H206" s="15">
        <v>20</v>
      </c>
      <c r="I206" s="14">
        <v>1649.74</v>
      </c>
      <c r="J206" s="14">
        <f>PRODUCT(Table1[[#This Row],[Quantity_Sold]],Table1[[#This Row],[Unit_Price]])</f>
        <v>32994.800000000003</v>
      </c>
    </row>
    <row r="207" spans="1:10" x14ac:dyDescent="0.35">
      <c r="A207" s="15">
        <v>1077</v>
      </c>
      <c r="B207" s="16">
        <v>44964</v>
      </c>
      <c r="C207" s="13" t="s">
        <v>17</v>
      </c>
      <c r="D207" s="13" t="s">
        <v>21</v>
      </c>
      <c r="E207" s="13" t="s">
        <v>24</v>
      </c>
      <c r="F207" s="13" t="s">
        <v>20</v>
      </c>
      <c r="G207" s="13" t="s">
        <v>13</v>
      </c>
      <c r="H207" s="15">
        <v>12</v>
      </c>
      <c r="I207" s="14">
        <v>2743.09</v>
      </c>
      <c r="J207" s="14">
        <f>PRODUCT(Table1[[#This Row],[Quantity_Sold]],Table1[[#This Row],[Unit_Price]])</f>
        <v>32917.08</v>
      </c>
    </row>
    <row r="208" spans="1:10" x14ac:dyDescent="0.35">
      <c r="A208" s="15">
        <v>1075</v>
      </c>
      <c r="B208" s="16">
        <v>45106</v>
      </c>
      <c r="C208" s="13" t="s">
        <v>14</v>
      </c>
      <c r="D208" s="13" t="s">
        <v>10</v>
      </c>
      <c r="E208" s="13" t="s">
        <v>24</v>
      </c>
      <c r="F208" s="13" t="s">
        <v>16</v>
      </c>
      <c r="G208" s="13" t="s">
        <v>23</v>
      </c>
      <c r="H208" s="15">
        <v>30</v>
      </c>
      <c r="I208" s="14">
        <v>1095.45</v>
      </c>
      <c r="J208" s="14">
        <f>PRODUCT(Table1[[#This Row],[Quantity_Sold]],Table1[[#This Row],[Unit_Price]])</f>
        <v>32863.5</v>
      </c>
    </row>
    <row r="209" spans="1:10" x14ac:dyDescent="0.35">
      <c r="A209" s="15">
        <v>1062</v>
      </c>
      <c r="B209" s="16">
        <v>45051</v>
      </c>
      <c r="C209" s="13" t="s">
        <v>17</v>
      </c>
      <c r="D209" s="13" t="s">
        <v>21</v>
      </c>
      <c r="E209" s="13" t="s">
        <v>11</v>
      </c>
      <c r="F209" s="13" t="s">
        <v>16</v>
      </c>
      <c r="G209" s="13" t="s">
        <v>13</v>
      </c>
      <c r="H209" s="15">
        <v>26</v>
      </c>
      <c r="I209" s="14">
        <v>1263.49</v>
      </c>
      <c r="J209" s="14">
        <f>PRODUCT(Table1[[#This Row],[Quantity_Sold]],Table1[[#This Row],[Unit_Price]])</f>
        <v>32850.74</v>
      </c>
    </row>
    <row r="210" spans="1:10" x14ac:dyDescent="0.35">
      <c r="A210" s="15">
        <v>1033</v>
      </c>
      <c r="B210" s="16">
        <v>44940</v>
      </c>
      <c r="C210" s="13" t="s">
        <v>18</v>
      </c>
      <c r="D210" s="13" t="s">
        <v>21</v>
      </c>
      <c r="E210" s="13" t="s">
        <v>24</v>
      </c>
      <c r="F210" s="13" t="s">
        <v>16</v>
      </c>
      <c r="G210" s="13" t="s">
        <v>23</v>
      </c>
      <c r="H210" s="15">
        <v>24</v>
      </c>
      <c r="I210" s="14">
        <v>1367.76</v>
      </c>
      <c r="J210" s="14">
        <f>PRODUCT(Table1[[#This Row],[Quantity_Sold]],Table1[[#This Row],[Unit_Price]])</f>
        <v>32826.239999999998</v>
      </c>
    </row>
    <row r="211" spans="1:10" x14ac:dyDescent="0.35">
      <c r="A211" s="15">
        <v>1099</v>
      </c>
      <c r="B211" s="16">
        <v>45212</v>
      </c>
      <c r="C211" s="13" t="s">
        <v>19</v>
      </c>
      <c r="D211" s="13" t="s">
        <v>15</v>
      </c>
      <c r="E211" s="13" t="s">
        <v>11</v>
      </c>
      <c r="F211" s="13" t="s">
        <v>20</v>
      </c>
      <c r="G211" s="13" t="s">
        <v>23</v>
      </c>
      <c r="H211" s="15">
        <v>14</v>
      </c>
      <c r="I211" s="14">
        <v>2341.4699999999998</v>
      </c>
      <c r="J211" s="14">
        <f>PRODUCT(Table1[[#This Row],[Quantity_Sold]],Table1[[#This Row],[Unit_Price]])</f>
        <v>32780.579999999994</v>
      </c>
    </row>
    <row r="212" spans="1:10" x14ac:dyDescent="0.35">
      <c r="A212" s="15">
        <v>1088</v>
      </c>
      <c r="B212" s="16">
        <v>45246</v>
      </c>
      <c r="C212" s="13" t="s">
        <v>17</v>
      </c>
      <c r="D212" s="13" t="s">
        <v>10</v>
      </c>
      <c r="E212" s="13" t="s">
        <v>24</v>
      </c>
      <c r="F212" s="13" t="s">
        <v>16</v>
      </c>
      <c r="G212" s="13" t="s">
        <v>13</v>
      </c>
      <c r="H212" s="15">
        <v>13</v>
      </c>
      <c r="I212" s="14">
        <v>2517.6</v>
      </c>
      <c r="J212" s="14">
        <f>PRODUCT(Table1[[#This Row],[Quantity_Sold]],Table1[[#This Row],[Unit_Price]])</f>
        <v>32728.799999999999</v>
      </c>
    </row>
    <row r="213" spans="1:10" x14ac:dyDescent="0.35">
      <c r="A213" s="15">
        <v>1026</v>
      </c>
      <c r="B213" s="16">
        <v>44961</v>
      </c>
      <c r="C213" s="13" t="s">
        <v>18</v>
      </c>
      <c r="D213" s="13" t="s">
        <v>22</v>
      </c>
      <c r="E213" s="13" t="s">
        <v>24</v>
      </c>
      <c r="F213" s="13" t="s">
        <v>20</v>
      </c>
      <c r="G213" s="13" t="s">
        <v>13</v>
      </c>
      <c r="H213" s="15">
        <v>19</v>
      </c>
      <c r="I213" s="14">
        <v>1715.83</v>
      </c>
      <c r="J213" s="14">
        <f>PRODUCT(Table1[[#This Row],[Quantity_Sold]],Table1[[#This Row],[Unit_Price]])</f>
        <v>32600.769999999997</v>
      </c>
    </row>
    <row r="214" spans="1:10" x14ac:dyDescent="0.35">
      <c r="A214" s="15">
        <v>1088</v>
      </c>
      <c r="B214" s="16">
        <v>45037</v>
      </c>
      <c r="C214" s="13" t="s">
        <v>19</v>
      </c>
      <c r="D214" s="13" t="s">
        <v>10</v>
      </c>
      <c r="E214" s="13" t="s">
        <v>24</v>
      </c>
      <c r="F214" s="13" t="s">
        <v>12</v>
      </c>
      <c r="G214" s="13" t="s">
        <v>13</v>
      </c>
      <c r="H214" s="15">
        <v>29</v>
      </c>
      <c r="I214" s="14">
        <v>1107.45</v>
      </c>
      <c r="J214" s="14">
        <f>PRODUCT(Table1[[#This Row],[Quantity_Sold]],Table1[[#This Row],[Unit_Price]])</f>
        <v>32116.050000000003</v>
      </c>
    </row>
    <row r="215" spans="1:10" x14ac:dyDescent="0.35">
      <c r="A215" s="15">
        <v>1095</v>
      </c>
      <c r="B215" s="16">
        <v>45255</v>
      </c>
      <c r="C215" s="13" t="s">
        <v>18</v>
      </c>
      <c r="D215" s="13" t="s">
        <v>22</v>
      </c>
      <c r="E215" s="13" t="s">
        <v>24</v>
      </c>
      <c r="F215" s="13" t="s">
        <v>20</v>
      </c>
      <c r="G215" s="13" t="s">
        <v>13</v>
      </c>
      <c r="H215" s="15">
        <v>37</v>
      </c>
      <c r="I215" s="14">
        <v>860.95</v>
      </c>
      <c r="J215" s="14">
        <f>PRODUCT(Table1[[#This Row],[Quantity_Sold]],Table1[[#This Row],[Unit_Price]])</f>
        <v>31855.15</v>
      </c>
    </row>
    <row r="216" spans="1:10" x14ac:dyDescent="0.35">
      <c r="A216" s="15">
        <v>1059</v>
      </c>
      <c r="B216" s="16">
        <v>45105</v>
      </c>
      <c r="C216" s="13" t="s">
        <v>9</v>
      </c>
      <c r="D216" s="13" t="s">
        <v>22</v>
      </c>
      <c r="E216" s="13" t="s">
        <v>24</v>
      </c>
      <c r="F216" s="13" t="s">
        <v>20</v>
      </c>
      <c r="G216" s="13" t="s">
        <v>13</v>
      </c>
      <c r="H216" s="15">
        <v>13</v>
      </c>
      <c r="I216" s="14">
        <v>2437.6999999999998</v>
      </c>
      <c r="J216" s="14">
        <f>PRODUCT(Table1[[#This Row],[Quantity_Sold]],Table1[[#This Row],[Unit_Price]])</f>
        <v>31690.1</v>
      </c>
    </row>
    <row r="217" spans="1:10" x14ac:dyDescent="0.35">
      <c r="A217" s="15">
        <v>1036</v>
      </c>
      <c r="B217" s="16">
        <v>45108</v>
      </c>
      <c r="C217" s="13" t="s">
        <v>18</v>
      </c>
      <c r="D217" s="13" t="s">
        <v>10</v>
      </c>
      <c r="E217" s="13" t="s">
        <v>11</v>
      </c>
      <c r="F217" s="13" t="s">
        <v>20</v>
      </c>
      <c r="G217" s="13" t="s">
        <v>23</v>
      </c>
      <c r="H217" s="15">
        <v>17</v>
      </c>
      <c r="I217" s="14">
        <v>1840.77</v>
      </c>
      <c r="J217" s="14">
        <f>PRODUCT(Table1[[#This Row],[Quantity_Sold]],Table1[[#This Row],[Unit_Price]])</f>
        <v>31293.09</v>
      </c>
    </row>
    <row r="218" spans="1:10" x14ac:dyDescent="0.35">
      <c r="A218" s="15">
        <v>1055</v>
      </c>
      <c r="B218" s="16">
        <v>45261</v>
      </c>
      <c r="C218" s="13" t="s">
        <v>19</v>
      </c>
      <c r="D218" s="13" t="s">
        <v>10</v>
      </c>
      <c r="E218" s="13" t="s">
        <v>11</v>
      </c>
      <c r="F218" s="13" t="s">
        <v>16</v>
      </c>
      <c r="G218" s="13" t="s">
        <v>23</v>
      </c>
      <c r="H218" s="15">
        <v>8</v>
      </c>
      <c r="I218" s="14">
        <v>3838.42</v>
      </c>
      <c r="J218" s="14">
        <f>PRODUCT(Table1[[#This Row],[Quantity_Sold]],Table1[[#This Row],[Unit_Price]])</f>
        <v>30707.360000000001</v>
      </c>
    </row>
    <row r="219" spans="1:10" x14ac:dyDescent="0.35">
      <c r="A219" s="15">
        <v>1062</v>
      </c>
      <c r="B219" s="16">
        <v>45126</v>
      </c>
      <c r="C219" s="13" t="s">
        <v>19</v>
      </c>
      <c r="D219" s="13" t="s">
        <v>22</v>
      </c>
      <c r="E219" s="13" t="s">
        <v>11</v>
      </c>
      <c r="F219" s="13" t="s">
        <v>20</v>
      </c>
      <c r="G219" s="13" t="s">
        <v>23</v>
      </c>
      <c r="H219" s="15">
        <v>10</v>
      </c>
      <c r="I219" s="14">
        <v>3054.79</v>
      </c>
      <c r="J219" s="14">
        <f>PRODUCT(Table1[[#This Row],[Quantity_Sold]],Table1[[#This Row],[Unit_Price]])</f>
        <v>30547.9</v>
      </c>
    </row>
    <row r="220" spans="1:10" x14ac:dyDescent="0.35">
      <c r="A220" s="15">
        <v>1009</v>
      </c>
      <c r="B220" s="16">
        <v>45155</v>
      </c>
      <c r="C220" s="13" t="s">
        <v>9</v>
      </c>
      <c r="D220" s="13" t="s">
        <v>21</v>
      </c>
      <c r="E220" s="13" t="s">
        <v>11</v>
      </c>
      <c r="F220" s="13" t="s">
        <v>12</v>
      </c>
      <c r="G220" s="13" t="s">
        <v>23</v>
      </c>
      <c r="H220" s="15">
        <v>33</v>
      </c>
      <c r="I220" s="14">
        <v>918.17</v>
      </c>
      <c r="J220" s="14">
        <f>PRODUCT(Table1[[#This Row],[Quantity_Sold]],Table1[[#This Row],[Unit_Price]])</f>
        <v>30299.609999999997</v>
      </c>
    </row>
    <row r="221" spans="1:10" x14ac:dyDescent="0.35">
      <c r="A221" s="15">
        <v>1001</v>
      </c>
      <c r="B221" s="16">
        <v>45242</v>
      </c>
      <c r="C221" s="13" t="s">
        <v>18</v>
      </c>
      <c r="D221" s="13" t="s">
        <v>22</v>
      </c>
      <c r="E221" s="13" t="s">
        <v>24</v>
      </c>
      <c r="F221" s="13" t="s">
        <v>16</v>
      </c>
      <c r="G221" s="13" t="s">
        <v>13</v>
      </c>
      <c r="H221" s="15">
        <v>8</v>
      </c>
      <c r="I221" s="14">
        <v>3729.27</v>
      </c>
      <c r="J221" s="14">
        <f>PRODUCT(Table1[[#This Row],[Quantity_Sold]],Table1[[#This Row],[Unit_Price]])</f>
        <v>29834.16</v>
      </c>
    </row>
    <row r="222" spans="1:10" x14ac:dyDescent="0.35">
      <c r="A222" s="15">
        <v>1078</v>
      </c>
      <c r="B222" s="16">
        <v>45246</v>
      </c>
      <c r="C222" s="13" t="s">
        <v>14</v>
      </c>
      <c r="D222" s="13" t="s">
        <v>10</v>
      </c>
      <c r="E222" s="13" t="s">
        <v>11</v>
      </c>
      <c r="F222" s="13" t="s">
        <v>16</v>
      </c>
      <c r="G222" s="13" t="s">
        <v>23</v>
      </c>
      <c r="H222" s="15">
        <v>8</v>
      </c>
      <c r="I222" s="14">
        <v>3657.23</v>
      </c>
      <c r="J222" s="14">
        <f>PRODUCT(Table1[[#This Row],[Quantity_Sold]],Table1[[#This Row],[Unit_Price]])</f>
        <v>29257.84</v>
      </c>
    </row>
    <row r="223" spans="1:10" x14ac:dyDescent="0.35">
      <c r="A223" s="15">
        <v>1018</v>
      </c>
      <c r="B223" s="16">
        <v>45098</v>
      </c>
      <c r="C223" s="13" t="s">
        <v>17</v>
      </c>
      <c r="D223" s="13" t="s">
        <v>21</v>
      </c>
      <c r="E223" s="13" t="s">
        <v>24</v>
      </c>
      <c r="F223" s="13" t="s">
        <v>16</v>
      </c>
      <c r="G223" s="13" t="s">
        <v>13</v>
      </c>
      <c r="H223" s="15">
        <v>28</v>
      </c>
      <c r="I223" s="14">
        <v>1043.45</v>
      </c>
      <c r="J223" s="14">
        <f>PRODUCT(Table1[[#This Row],[Quantity_Sold]],Table1[[#This Row],[Unit_Price]])</f>
        <v>29216.600000000002</v>
      </c>
    </row>
    <row r="224" spans="1:10" x14ac:dyDescent="0.35">
      <c r="A224" s="15">
        <v>1039</v>
      </c>
      <c r="B224" s="16">
        <v>45080</v>
      </c>
      <c r="C224" s="13" t="s">
        <v>9</v>
      </c>
      <c r="D224" s="13" t="s">
        <v>21</v>
      </c>
      <c r="E224" s="13" t="s">
        <v>11</v>
      </c>
      <c r="F224" s="13" t="s">
        <v>20</v>
      </c>
      <c r="G224" s="13" t="s">
        <v>23</v>
      </c>
      <c r="H224" s="15">
        <v>8</v>
      </c>
      <c r="I224" s="14">
        <v>3609.34</v>
      </c>
      <c r="J224" s="14">
        <f>PRODUCT(Table1[[#This Row],[Quantity_Sold]],Table1[[#This Row],[Unit_Price]])</f>
        <v>28874.720000000001</v>
      </c>
    </row>
    <row r="225" spans="1:10" x14ac:dyDescent="0.35">
      <c r="A225" s="15">
        <v>1062</v>
      </c>
      <c r="B225" s="16">
        <v>45074</v>
      </c>
      <c r="C225" s="13" t="s">
        <v>9</v>
      </c>
      <c r="D225" s="13" t="s">
        <v>22</v>
      </c>
      <c r="E225" s="13" t="s">
        <v>11</v>
      </c>
      <c r="F225" s="13" t="s">
        <v>16</v>
      </c>
      <c r="G225" s="13" t="s">
        <v>23</v>
      </c>
      <c r="H225" s="15">
        <v>28</v>
      </c>
      <c r="I225" s="14">
        <v>1004.7</v>
      </c>
      <c r="J225" s="14">
        <f>PRODUCT(Table1[[#This Row],[Quantity_Sold]],Table1[[#This Row],[Unit_Price]])</f>
        <v>28131.600000000002</v>
      </c>
    </row>
    <row r="226" spans="1:10" x14ac:dyDescent="0.35">
      <c r="A226" s="15">
        <v>1003</v>
      </c>
      <c r="B226" s="16">
        <v>45124</v>
      </c>
      <c r="C226" s="13" t="s">
        <v>17</v>
      </c>
      <c r="D226" s="13" t="s">
        <v>22</v>
      </c>
      <c r="E226" s="13" t="s">
        <v>11</v>
      </c>
      <c r="F226" s="13" t="s">
        <v>12</v>
      </c>
      <c r="G226" s="13" t="s">
        <v>23</v>
      </c>
      <c r="H226" s="15">
        <v>15</v>
      </c>
      <c r="I226" s="14">
        <v>1870.88</v>
      </c>
      <c r="J226" s="14">
        <f>PRODUCT(Table1[[#This Row],[Quantity_Sold]],Table1[[#This Row],[Unit_Price]])</f>
        <v>28063.200000000001</v>
      </c>
    </row>
    <row r="227" spans="1:10" x14ac:dyDescent="0.35">
      <c r="A227" s="15">
        <v>1018</v>
      </c>
      <c r="B227" s="16">
        <v>44952</v>
      </c>
      <c r="C227" s="13" t="s">
        <v>18</v>
      </c>
      <c r="D227" s="13" t="s">
        <v>21</v>
      </c>
      <c r="E227" s="13" t="s">
        <v>11</v>
      </c>
      <c r="F227" s="13" t="s">
        <v>12</v>
      </c>
      <c r="G227" s="13" t="s">
        <v>23</v>
      </c>
      <c r="H227" s="15">
        <v>11</v>
      </c>
      <c r="I227" s="14">
        <v>2519.0700000000002</v>
      </c>
      <c r="J227" s="14">
        <f>PRODUCT(Table1[[#This Row],[Quantity_Sold]],Table1[[#This Row],[Unit_Price]])</f>
        <v>27709.77</v>
      </c>
    </row>
    <row r="228" spans="1:10" x14ac:dyDescent="0.35">
      <c r="A228" s="15">
        <v>1082</v>
      </c>
      <c r="B228" s="16">
        <v>45082</v>
      </c>
      <c r="C228" s="13" t="s">
        <v>19</v>
      </c>
      <c r="D228" s="13" t="s">
        <v>21</v>
      </c>
      <c r="E228" s="13" t="s">
        <v>11</v>
      </c>
      <c r="F228" s="13" t="s">
        <v>20</v>
      </c>
      <c r="G228" s="13" t="s">
        <v>23</v>
      </c>
      <c r="H228" s="15">
        <v>15</v>
      </c>
      <c r="I228" s="14">
        <v>1832.6</v>
      </c>
      <c r="J228" s="14">
        <f>PRODUCT(Table1[[#This Row],[Quantity_Sold]],Table1[[#This Row],[Unit_Price]])</f>
        <v>27489</v>
      </c>
    </row>
    <row r="229" spans="1:10" x14ac:dyDescent="0.35">
      <c r="A229" s="15">
        <v>1019</v>
      </c>
      <c r="B229" s="16">
        <v>45124</v>
      </c>
      <c r="C229" s="13" t="s">
        <v>14</v>
      </c>
      <c r="D229" s="13" t="s">
        <v>21</v>
      </c>
      <c r="E229" s="13" t="s">
        <v>24</v>
      </c>
      <c r="F229" s="13" t="s">
        <v>20</v>
      </c>
      <c r="G229" s="13" t="s">
        <v>13</v>
      </c>
      <c r="H229" s="15">
        <v>14</v>
      </c>
      <c r="I229" s="14">
        <v>1882.79</v>
      </c>
      <c r="J229" s="14">
        <f>PRODUCT(Table1[[#This Row],[Quantity_Sold]],Table1[[#This Row],[Unit_Price]])</f>
        <v>26359.059999999998</v>
      </c>
    </row>
    <row r="230" spans="1:10" x14ac:dyDescent="0.35">
      <c r="A230" s="15">
        <v>1032</v>
      </c>
      <c r="B230" s="16">
        <v>45211</v>
      </c>
      <c r="C230" s="13" t="s">
        <v>18</v>
      </c>
      <c r="D230" s="13" t="s">
        <v>21</v>
      </c>
      <c r="E230" s="13" t="s">
        <v>11</v>
      </c>
      <c r="F230" s="13" t="s">
        <v>20</v>
      </c>
      <c r="G230" s="13" t="s">
        <v>13</v>
      </c>
      <c r="H230" s="15">
        <v>17</v>
      </c>
      <c r="I230" s="14">
        <v>1528.59</v>
      </c>
      <c r="J230" s="14">
        <f>PRODUCT(Table1[[#This Row],[Quantity_Sold]],Table1[[#This Row],[Unit_Price]])</f>
        <v>25986.03</v>
      </c>
    </row>
    <row r="231" spans="1:10" x14ac:dyDescent="0.35">
      <c r="A231" s="15">
        <v>1035</v>
      </c>
      <c r="B231" s="16">
        <v>45004</v>
      </c>
      <c r="C231" s="13" t="s">
        <v>9</v>
      </c>
      <c r="D231" s="13" t="s">
        <v>21</v>
      </c>
      <c r="E231" s="13" t="s">
        <v>11</v>
      </c>
      <c r="F231" s="13" t="s">
        <v>20</v>
      </c>
      <c r="G231" s="13" t="s">
        <v>13</v>
      </c>
      <c r="H231" s="15">
        <v>9</v>
      </c>
      <c r="I231" s="14">
        <v>2755.56</v>
      </c>
      <c r="J231" s="14">
        <f>PRODUCT(Table1[[#This Row],[Quantity_Sold]],Table1[[#This Row],[Unit_Price]])</f>
        <v>24800.04</v>
      </c>
    </row>
    <row r="232" spans="1:10" x14ac:dyDescent="0.35">
      <c r="A232" s="15">
        <v>1050</v>
      </c>
      <c r="B232" s="16">
        <v>45074</v>
      </c>
      <c r="C232" s="13" t="s">
        <v>18</v>
      </c>
      <c r="D232" s="13" t="s">
        <v>10</v>
      </c>
      <c r="E232" s="13" t="s">
        <v>24</v>
      </c>
      <c r="F232" s="13" t="s">
        <v>20</v>
      </c>
      <c r="G232" s="13" t="s">
        <v>13</v>
      </c>
      <c r="H232" s="15">
        <v>6</v>
      </c>
      <c r="I232" s="14">
        <v>4102.72</v>
      </c>
      <c r="J232" s="14">
        <f>PRODUCT(Table1[[#This Row],[Quantity_Sold]],Table1[[#This Row],[Unit_Price]])</f>
        <v>24616.32</v>
      </c>
    </row>
    <row r="233" spans="1:10" x14ac:dyDescent="0.35">
      <c r="A233" s="15">
        <v>1012</v>
      </c>
      <c r="B233" s="16">
        <v>45244</v>
      </c>
      <c r="C233" s="13" t="s">
        <v>17</v>
      </c>
      <c r="D233" s="13" t="s">
        <v>21</v>
      </c>
      <c r="E233" s="13" t="s">
        <v>11</v>
      </c>
      <c r="F233" s="13" t="s">
        <v>16</v>
      </c>
      <c r="G233" s="13" t="s">
        <v>13</v>
      </c>
      <c r="H233" s="15">
        <v>6</v>
      </c>
      <c r="I233" s="14">
        <v>4082.62</v>
      </c>
      <c r="J233" s="14">
        <f>PRODUCT(Table1[[#This Row],[Quantity_Sold]],Table1[[#This Row],[Unit_Price]])</f>
        <v>24495.72</v>
      </c>
    </row>
    <row r="234" spans="1:10" x14ac:dyDescent="0.35">
      <c r="A234" s="15">
        <v>1011</v>
      </c>
      <c r="B234" s="16">
        <v>45263</v>
      </c>
      <c r="C234" s="13" t="s">
        <v>9</v>
      </c>
      <c r="D234" s="13" t="s">
        <v>22</v>
      </c>
      <c r="E234" s="13" t="s">
        <v>11</v>
      </c>
      <c r="F234" s="13" t="s">
        <v>12</v>
      </c>
      <c r="G234" s="13" t="s">
        <v>23</v>
      </c>
      <c r="H234" s="15">
        <v>13</v>
      </c>
      <c r="I234" s="14">
        <v>1882.57</v>
      </c>
      <c r="J234" s="14">
        <f>PRODUCT(Table1[[#This Row],[Quantity_Sold]],Table1[[#This Row],[Unit_Price]])</f>
        <v>24473.41</v>
      </c>
    </row>
    <row r="235" spans="1:10" x14ac:dyDescent="0.35">
      <c r="A235" s="15">
        <v>1044</v>
      </c>
      <c r="B235" s="16">
        <v>45228</v>
      </c>
      <c r="C235" s="13" t="s">
        <v>19</v>
      </c>
      <c r="D235" s="13" t="s">
        <v>21</v>
      </c>
      <c r="E235" s="13" t="s">
        <v>24</v>
      </c>
      <c r="F235" s="13" t="s">
        <v>12</v>
      </c>
      <c r="G235" s="13" t="s">
        <v>23</v>
      </c>
      <c r="H235" s="15">
        <v>11</v>
      </c>
      <c r="I235" s="14">
        <v>2196.3000000000002</v>
      </c>
      <c r="J235" s="14">
        <f>PRODUCT(Table1[[#This Row],[Quantity_Sold]],Table1[[#This Row],[Unit_Price]])</f>
        <v>24159.300000000003</v>
      </c>
    </row>
    <row r="236" spans="1:10" x14ac:dyDescent="0.35">
      <c r="A236" s="15">
        <v>1071</v>
      </c>
      <c r="B236" s="16">
        <v>45103</v>
      </c>
      <c r="C236" s="13" t="s">
        <v>14</v>
      </c>
      <c r="D236" s="13" t="s">
        <v>21</v>
      </c>
      <c r="E236" s="13" t="s">
        <v>24</v>
      </c>
      <c r="F236" s="13" t="s">
        <v>20</v>
      </c>
      <c r="G236" s="13" t="s">
        <v>23</v>
      </c>
      <c r="H236" s="15">
        <v>35</v>
      </c>
      <c r="I236" s="14">
        <v>684.67</v>
      </c>
      <c r="J236" s="14">
        <f>PRODUCT(Table1[[#This Row],[Quantity_Sold]],Table1[[#This Row],[Unit_Price]])</f>
        <v>23963.449999999997</v>
      </c>
    </row>
    <row r="237" spans="1:10" x14ac:dyDescent="0.35">
      <c r="A237" s="15">
        <v>1096</v>
      </c>
      <c r="B237" s="16">
        <v>45180</v>
      </c>
      <c r="C237" s="13" t="s">
        <v>17</v>
      </c>
      <c r="D237" s="13" t="s">
        <v>22</v>
      </c>
      <c r="E237" s="13" t="s">
        <v>24</v>
      </c>
      <c r="F237" s="13" t="s">
        <v>12</v>
      </c>
      <c r="G237" s="13" t="s">
        <v>13</v>
      </c>
      <c r="H237" s="15">
        <v>23</v>
      </c>
      <c r="I237" s="14">
        <v>1032.22</v>
      </c>
      <c r="J237" s="14">
        <f>PRODUCT(Table1[[#This Row],[Quantity_Sold]],Table1[[#This Row],[Unit_Price]])</f>
        <v>23741.06</v>
      </c>
    </row>
    <row r="238" spans="1:10" x14ac:dyDescent="0.35">
      <c r="A238" s="15">
        <v>1053</v>
      </c>
      <c r="B238" s="16">
        <v>45215</v>
      </c>
      <c r="C238" s="13" t="s">
        <v>9</v>
      </c>
      <c r="D238" s="13" t="s">
        <v>10</v>
      </c>
      <c r="E238" s="13" t="s">
        <v>24</v>
      </c>
      <c r="F238" s="13" t="s">
        <v>12</v>
      </c>
      <c r="G238" s="13" t="s">
        <v>13</v>
      </c>
      <c r="H238" s="15">
        <v>48</v>
      </c>
      <c r="I238" s="14">
        <v>487.65</v>
      </c>
      <c r="J238" s="14">
        <f>PRODUCT(Table1[[#This Row],[Quantity_Sold]],Table1[[#This Row],[Unit_Price]])</f>
        <v>23407.199999999997</v>
      </c>
    </row>
    <row r="239" spans="1:10" x14ac:dyDescent="0.35">
      <c r="A239" s="15">
        <v>1003</v>
      </c>
      <c r="B239" s="16">
        <v>45044</v>
      </c>
      <c r="C239" s="13" t="s">
        <v>19</v>
      </c>
      <c r="D239" s="13" t="s">
        <v>10</v>
      </c>
      <c r="E239" s="13" t="s">
        <v>11</v>
      </c>
      <c r="F239" s="13" t="s">
        <v>12</v>
      </c>
      <c r="G239" s="13" t="s">
        <v>23</v>
      </c>
      <c r="H239" s="15">
        <v>27</v>
      </c>
      <c r="I239" s="14">
        <v>853.66</v>
      </c>
      <c r="J239" s="14">
        <f>PRODUCT(Table1[[#This Row],[Quantity_Sold]],Table1[[#This Row],[Unit_Price]])</f>
        <v>23048.82</v>
      </c>
    </row>
    <row r="240" spans="1:10" x14ac:dyDescent="0.35">
      <c r="A240" s="15">
        <v>1044</v>
      </c>
      <c r="B240" s="16">
        <v>45258</v>
      </c>
      <c r="C240" s="13" t="s">
        <v>19</v>
      </c>
      <c r="D240" s="13" t="s">
        <v>22</v>
      </c>
      <c r="E240" s="13" t="s">
        <v>24</v>
      </c>
      <c r="F240" s="13" t="s">
        <v>20</v>
      </c>
      <c r="G240" s="13" t="s">
        <v>23</v>
      </c>
      <c r="H240" s="15">
        <v>6</v>
      </c>
      <c r="I240" s="14">
        <v>3840.24</v>
      </c>
      <c r="J240" s="14">
        <f>PRODUCT(Table1[[#This Row],[Quantity_Sold]],Table1[[#This Row],[Unit_Price]])</f>
        <v>23041.439999999999</v>
      </c>
    </row>
    <row r="241" spans="1:10" x14ac:dyDescent="0.35">
      <c r="A241" s="15">
        <v>1022</v>
      </c>
      <c r="B241" s="16">
        <v>45078</v>
      </c>
      <c r="C241" s="13" t="s">
        <v>14</v>
      </c>
      <c r="D241" s="13" t="s">
        <v>22</v>
      </c>
      <c r="E241" s="13" t="s">
        <v>24</v>
      </c>
      <c r="F241" s="13" t="s">
        <v>12</v>
      </c>
      <c r="G241" s="13" t="s">
        <v>23</v>
      </c>
      <c r="H241" s="15">
        <v>9</v>
      </c>
      <c r="I241" s="14">
        <v>2558.9499999999998</v>
      </c>
      <c r="J241" s="14">
        <f>PRODUCT(Table1[[#This Row],[Quantity_Sold]],Table1[[#This Row],[Unit_Price]])</f>
        <v>23030.55</v>
      </c>
    </row>
    <row r="242" spans="1:10" x14ac:dyDescent="0.35">
      <c r="A242" s="15">
        <v>1065</v>
      </c>
      <c r="B242" s="16">
        <v>45254</v>
      </c>
      <c r="C242" s="13" t="s">
        <v>9</v>
      </c>
      <c r="D242" s="13" t="s">
        <v>15</v>
      </c>
      <c r="E242" s="13" t="s">
        <v>24</v>
      </c>
      <c r="F242" s="13" t="s">
        <v>16</v>
      </c>
      <c r="G242" s="13" t="s">
        <v>13</v>
      </c>
      <c r="H242" s="15">
        <v>18</v>
      </c>
      <c r="I242" s="14">
        <v>1273.98</v>
      </c>
      <c r="J242" s="14">
        <f>PRODUCT(Table1[[#This Row],[Quantity_Sold]],Table1[[#This Row],[Unit_Price]])</f>
        <v>22931.64</v>
      </c>
    </row>
    <row r="243" spans="1:10" x14ac:dyDescent="0.35">
      <c r="A243" s="15">
        <v>1087</v>
      </c>
      <c r="B243" s="16">
        <v>45021</v>
      </c>
      <c r="C243" s="13" t="s">
        <v>17</v>
      </c>
      <c r="D243" s="13" t="s">
        <v>10</v>
      </c>
      <c r="E243" s="13" t="s">
        <v>24</v>
      </c>
      <c r="F243" s="13" t="s">
        <v>12</v>
      </c>
      <c r="G243" s="13" t="s">
        <v>23</v>
      </c>
      <c r="H243" s="15">
        <v>43</v>
      </c>
      <c r="I243" s="14">
        <v>531.02</v>
      </c>
      <c r="J243" s="14">
        <f>PRODUCT(Table1[[#This Row],[Quantity_Sold]],Table1[[#This Row],[Unit_Price]])</f>
        <v>22833.86</v>
      </c>
    </row>
    <row r="244" spans="1:10" x14ac:dyDescent="0.35">
      <c r="A244" s="15">
        <v>1007</v>
      </c>
      <c r="B244" s="16">
        <v>45015</v>
      </c>
      <c r="C244" s="13" t="s">
        <v>14</v>
      </c>
      <c r="D244" s="13" t="s">
        <v>10</v>
      </c>
      <c r="E244" s="13" t="s">
        <v>24</v>
      </c>
      <c r="F244" s="13" t="s">
        <v>12</v>
      </c>
      <c r="G244" s="13" t="s">
        <v>13</v>
      </c>
      <c r="H244" s="15">
        <v>14</v>
      </c>
      <c r="I244" s="14">
        <v>1608.76</v>
      </c>
      <c r="J244" s="14">
        <f>PRODUCT(Table1[[#This Row],[Quantity_Sold]],Table1[[#This Row],[Unit_Price]])</f>
        <v>22522.639999999999</v>
      </c>
    </row>
    <row r="245" spans="1:10" x14ac:dyDescent="0.35">
      <c r="A245" s="15">
        <v>1035</v>
      </c>
      <c r="B245" s="16">
        <v>45151</v>
      </c>
      <c r="C245" s="13" t="s">
        <v>18</v>
      </c>
      <c r="D245" s="13" t="s">
        <v>21</v>
      </c>
      <c r="E245" s="13" t="s">
        <v>24</v>
      </c>
      <c r="F245" s="13" t="s">
        <v>20</v>
      </c>
      <c r="G245" s="13" t="s">
        <v>13</v>
      </c>
      <c r="H245" s="15">
        <v>5</v>
      </c>
      <c r="I245" s="14">
        <v>4454.97</v>
      </c>
      <c r="J245" s="14">
        <f>PRODUCT(Table1[[#This Row],[Quantity_Sold]],Table1[[#This Row],[Unit_Price]])</f>
        <v>22274.850000000002</v>
      </c>
    </row>
    <row r="246" spans="1:10" x14ac:dyDescent="0.35">
      <c r="A246" s="15">
        <v>1019</v>
      </c>
      <c r="B246" s="16">
        <v>45228</v>
      </c>
      <c r="C246" s="13" t="s">
        <v>14</v>
      </c>
      <c r="D246" s="13" t="s">
        <v>15</v>
      </c>
      <c r="E246" s="13" t="s">
        <v>24</v>
      </c>
      <c r="F246" s="13" t="s">
        <v>16</v>
      </c>
      <c r="G246" s="13" t="s">
        <v>23</v>
      </c>
      <c r="H246" s="15">
        <v>31</v>
      </c>
      <c r="I246" s="14">
        <v>685.1</v>
      </c>
      <c r="J246" s="14">
        <f>PRODUCT(Table1[[#This Row],[Quantity_Sold]],Table1[[#This Row],[Unit_Price]])</f>
        <v>21238.100000000002</v>
      </c>
    </row>
    <row r="247" spans="1:10" x14ac:dyDescent="0.35">
      <c r="A247" s="15">
        <v>1060</v>
      </c>
      <c r="B247" s="16">
        <v>45150</v>
      </c>
      <c r="C247" s="13" t="s">
        <v>14</v>
      </c>
      <c r="D247" s="13" t="s">
        <v>10</v>
      </c>
      <c r="E247" s="13" t="s">
        <v>11</v>
      </c>
      <c r="F247" s="13" t="s">
        <v>12</v>
      </c>
      <c r="G247" s="13" t="s">
        <v>13</v>
      </c>
      <c r="H247" s="15">
        <v>5</v>
      </c>
      <c r="I247" s="14">
        <v>4096.4799999999996</v>
      </c>
      <c r="J247" s="14">
        <f>PRODUCT(Table1[[#This Row],[Quantity_Sold]],Table1[[#This Row],[Unit_Price]])</f>
        <v>20482.399999999998</v>
      </c>
    </row>
    <row r="248" spans="1:10" x14ac:dyDescent="0.35">
      <c r="A248" s="15">
        <v>1002</v>
      </c>
      <c r="B248" s="16">
        <v>45027</v>
      </c>
      <c r="C248" s="13" t="s">
        <v>9</v>
      </c>
      <c r="D248" s="13" t="s">
        <v>15</v>
      </c>
      <c r="E248" s="13" t="s">
        <v>11</v>
      </c>
      <c r="F248" s="13" t="s">
        <v>12</v>
      </c>
      <c r="G248" s="13" t="s">
        <v>23</v>
      </c>
      <c r="H248" s="15">
        <v>21</v>
      </c>
      <c r="I248" s="14">
        <v>971.57</v>
      </c>
      <c r="J248" s="14">
        <f>PRODUCT(Table1[[#This Row],[Quantity_Sold]],Table1[[#This Row],[Unit_Price]])</f>
        <v>20402.97</v>
      </c>
    </row>
    <row r="249" spans="1:10" x14ac:dyDescent="0.35">
      <c r="A249" s="15">
        <v>1037</v>
      </c>
      <c r="B249" s="16">
        <v>45084</v>
      </c>
      <c r="C249" s="13" t="s">
        <v>18</v>
      </c>
      <c r="D249" s="13" t="s">
        <v>15</v>
      </c>
      <c r="E249" s="13" t="s">
        <v>24</v>
      </c>
      <c r="F249" s="13" t="s">
        <v>12</v>
      </c>
      <c r="G249" s="13" t="s">
        <v>13</v>
      </c>
      <c r="H249" s="15">
        <v>4</v>
      </c>
      <c r="I249" s="14">
        <v>5017.58</v>
      </c>
      <c r="J249" s="14">
        <f>PRODUCT(Table1[[#This Row],[Quantity_Sold]],Table1[[#This Row],[Unit_Price]])</f>
        <v>20070.32</v>
      </c>
    </row>
    <row r="250" spans="1:10" x14ac:dyDescent="0.35">
      <c r="A250" s="15">
        <v>1099</v>
      </c>
      <c r="B250" s="16">
        <v>44989</v>
      </c>
      <c r="C250" s="13" t="s">
        <v>14</v>
      </c>
      <c r="D250" s="13" t="s">
        <v>10</v>
      </c>
      <c r="E250" s="13" t="s">
        <v>24</v>
      </c>
      <c r="F250" s="13" t="s">
        <v>20</v>
      </c>
      <c r="G250" s="13" t="s">
        <v>23</v>
      </c>
      <c r="H250" s="15">
        <v>10</v>
      </c>
      <c r="I250" s="14">
        <v>1955.56</v>
      </c>
      <c r="J250" s="14">
        <f>PRODUCT(Table1[[#This Row],[Quantity_Sold]],Table1[[#This Row],[Unit_Price]])</f>
        <v>19555.599999999999</v>
      </c>
    </row>
    <row r="251" spans="1:10" x14ac:dyDescent="0.35">
      <c r="A251" s="15">
        <v>1071</v>
      </c>
      <c r="B251" s="16">
        <v>45066</v>
      </c>
      <c r="C251" s="13" t="s">
        <v>17</v>
      </c>
      <c r="D251" s="13" t="s">
        <v>10</v>
      </c>
      <c r="E251" s="13" t="s">
        <v>11</v>
      </c>
      <c r="F251" s="13" t="s">
        <v>16</v>
      </c>
      <c r="G251" s="13" t="s">
        <v>13</v>
      </c>
      <c r="H251" s="15">
        <v>6</v>
      </c>
      <c r="I251" s="14">
        <v>3206.98</v>
      </c>
      <c r="J251" s="14">
        <f>PRODUCT(Table1[[#This Row],[Quantity_Sold]],Table1[[#This Row],[Unit_Price]])</f>
        <v>19241.88</v>
      </c>
    </row>
    <row r="252" spans="1:10" x14ac:dyDescent="0.35">
      <c r="A252" s="15">
        <v>1024</v>
      </c>
      <c r="B252" s="16">
        <v>45289</v>
      </c>
      <c r="C252" s="13" t="s">
        <v>17</v>
      </c>
      <c r="D252" s="13" t="s">
        <v>10</v>
      </c>
      <c r="E252" s="13" t="s">
        <v>11</v>
      </c>
      <c r="F252" s="13" t="s">
        <v>20</v>
      </c>
      <c r="G252" s="13" t="s">
        <v>13</v>
      </c>
      <c r="H252" s="15">
        <v>5</v>
      </c>
      <c r="I252" s="14">
        <v>3714.52</v>
      </c>
      <c r="J252" s="14">
        <f>PRODUCT(Table1[[#This Row],[Quantity_Sold]],Table1[[#This Row],[Unit_Price]])</f>
        <v>18572.599999999999</v>
      </c>
    </row>
    <row r="253" spans="1:10" x14ac:dyDescent="0.35">
      <c r="A253" s="15">
        <v>1062</v>
      </c>
      <c r="B253" s="16">
        <v>45248</v>
      </c>
      <c r="C253" s="13" t="s">
        <v>18</v>
      </c>
      <c r="D253" s="13" t="s">
        <v>10</v>
      </c>
      <c r="E253" s="13" t="s">
        <v>11</v>
      </c>
      <c r="F253" s="13" t="s">
        <v>16</v>
      </c>
      <c r="G253" s="13" t="s">
        <v>13</v>
      </c>
      <c r="H253" s="15">
        <v>12</v>
      </c>
      <c r="I253" s="14">
        <v>1545</v>
      </c>
      <c r="J253" s="14">
        <f>PRODUCT(Table1[[#This Row],[Quantity_Sold]],Table1[[#This Row],[Unit_Price]])</f>
        <v>18540</v>
      </c>
    </row>
    <row r="254" spans="1:10" x14ac:dyDescent="0.35">
      <c r="A254" s="15">
        <v>1098</v>
      </c>
      <c r="B254" s="16">
        <v>45217</v>
      </c>
      <c r="C254" s="13" t="s">
        <v>17</v>
      </c>
      <c r="D254" s="13" t="s">
        <v>10</v>
      </c>
      <c r="E254" s="13" t="s">
        <v>24</v>
      </c>
      <c r="F254" s="13" t="s">
        <v>16</v>
      </c>
      <c r="G254" s="13" t="s">
        <v>23</v>
      </c>
      <c r="H254" s="15">
        <v>21</v>
      </c>
      <c r="I254" s="14">
        <v>828.95</v>
      </c>
      <c r="J254" s="14">
        <f>PRODUCT(Table1[[#This Row],[Quantity_Sold]],Table1[[#This Row],[Unit_Price]])</f>
        <v>17407.95</v>
      </c>
    </row>
    <row r="255" spans="1:10" x14ac:dyDescent="0.35">
      <c r="A255" s="15">
        <v>1072</v>
      </c>
      <c r="B255" s="16">
        <v>45254</v>
      </c>
      <c r="C255" s="13" t="s">
        <v>18</v>
      </c>
      <c r="D255" s="13" t="s">
        <v>21</v>
      </c>
      <c r="E255" s="13" t="s">
        <v>24</v>
      </c>
      <c r="F255" s="13" t="s">
        <v>20</v>
      </c>
      <c r="G255" s="13" t="s">
        <v>13</v>
      </c>
      <c r="H255" s="15">
        <v>25</v>
      </c>
      <c r="I255" s="14">
        <v>693.4</v>
      </c>
      <c r="J255" s="14">
        <f>PRODUCT(Table1[[#This Row],[Quantity_Sold]],Table1[[#This Row],[Unit_Price]])</f>
        <v>17335</v>
      </c>
    </row>
    <row r="256" spans="1:10" x14ac:dyDescent="0.35">
      <c r="A256" s="15">
        <v>1062</v>
      </c>
      <c r="B256" s="16">
        <v>45242</v>
      </c>
      <c r="C256" s="13" t="s">
        <v>17</v>
      </c>
      <c r="D256" s="13" t="s">
        <v>22</v>
      </c>
      <c r="E256" s="13" t="s">
        <v>24</v>
      </c>
      <c r="F256" s="13" t="s">
        <v>16</v>
      </c>
      <c r="G256" s="13" t="s">
        <v>13</v>
      </c>
      <c r="H256" s="15">
        <v>9</v>
      </c>
      <c r="I256" s="14">
        <v>1838.21</v>
      </c>
      <c r="J256" s="14">
        <f>PRODUCT(Table1[[#This Row],[Quantity_Sold]],Table1[[#This Row],[Unit_Price]])</f>
        <v>16543.89</v>
      </c>
    </row>
    <row r="257" spans="1:10" x14ac:dyDescent="0.35">
      <c r="A257" s="15">
        <v>1044</v>
      </c>
      <c r="B257" s="16">
        <v>45094</v>
      </c>
      <c r="C257" s="13" t="s">
        <v>19</v>
      </c>
      <c r="D257" s="13" t="s">
        <v>10</v>
      </c>
      <c r="E257" s="13" t="s">
        <v>11</v>
      </c>
      <c r="F257" s="13" t="s">
        <v>20</v>
      </c>
      <c r="G257" s="13" t="s">
        <v>13</v>
      </c>
      <c r="H257" s="15">
        <v>6</v>
      </c>
      <c r="I257" s="14">
        <v>2742.97</v>
      </c>
      <c r="J257" s="14">
        <f>PRODUCT(Table1[[#This Row],[Quantity_Sold]],Table1[[#This Row],[Unit_Price]])</f>
        <v>16457.82</v>
      </c>
    </row>
    <row r="258" spans="1:10" x14ac:dyDescent="0.35">
      <c r="A258" s="15">
        <v>1087</v>
      </c>
      <c r="B258" s="16">
        <v>45223</v>
      </c>
      <c r="C258" s="13" t="s">
        <v>9</v>
      </c>
      <c r="D258" s="13" t="s">
        <v>21</v>
      </c>
      <c r="E258" s="13" t="s">
        <v>24</v>
      </c>
      <c r="F258" s="13" t="s">
        <v>20</v>
      </c>
      <c r="G258" s="13" t="s">
        <v>13</v>
      </c>
      <c r="H258" s="15">
        <v>28</v>
      </c>
      <c r="I258" s="14">
        <v>569.63</v>
      </c>
      <c r="J258" s="14">
        <f>PRODUCT(Table1[[#This Row],[Quantity_Sold]],Table1[[#This Row],[Unit_Price]])</f>
        <v>15949.64</v>
      </c>
    </row>
    <row r="259" spans="1:10" x14ac:dyDescent="0.35">
      <c r="A259" s="15">
        <v>1002</v>
      </c>
      <c r="B259" s="16">
        <v>44977</v>
      </c>
      <c r="C259" s="13" t="s">
        <v>19</v>
      </c>
      <c r="D259" s="13" t="s">
        <v>15</v>
      </c>
      <c r="E259" s="13" t="s">
        <v>24</v>
      </c>
      <c r="F259" s="13" t="s">
        <v>20</v>
      </c>
      <c r="G259" s="13" t="s">
        <v>13</v>
      </c>
      <c r="H259" s="15">
        <v>26</v>
      </c>
      <c r="I259" s="14">
        <v>557.69000000000005</v>
      </c>
      <c r="J259" s="14">
        <f>PRODUCT(Table1[[#This Row],[Quantity_Sold]],Table1[[#This Row],[Unit_Price]])</f>
        <v>14499.940000000002</v>
      </c>
    </row>
    <row r="260" spans="1:10" x14ac:dyDescent="0.35">
      <c r="A260" s="15">
        <v>1062</v>
      </c>
      <c r="B260" s="16">
        <v>45062</v>
      </c>
      <c r="C260" s="13" t="s">
        <v>19</v>
      </c>
      <c r="D260" s="13" t="s">
        <v>10</v>
      </c>
      <c r="E260" s="13" t="s">
        <v>24</v>
      </c>
      <c r="F260" s="13" t="s">
        <v>12</v>
      </c>
      <c r="G260" s="13" t="s">
        <v>13</v>
      </c>
      <c r="H260" s="15">
        <v>46</v>
      </c>
      <c r="I260" s="14">
        <v>303.36</v>
      </c>
      <c r="J260" s="14">
        <f>PRODUCT(Table1[[#This Row],[Quantity_Sold]],Table1[[#This Row],[Unit_Price]])</f>
        <v>13954.560000000001</v>
      </c>
    </row>
    <row r="261" spans="1:10" x14ac:dyDescent="0.35">
      <c r="A261" s="15">
        <v>1080</v>
      </c>
      <c r="B261" s="16">
        <v>44962</v>
      </c>
      <c r="C261" s="13" t="s">
        <v>19</v>
      </c>
      <c r="D261" s="13" t="s">
        <v>22</v>
      </c>
      <c r="E261" s="13" t="s">
        <v>24</v>
      </c>
      <c r="F261" s="13" t="s">
        <v>20</v>
      </c>
      <c r="G261" s="13" t="s">
        <v>13</v>
      </c>
      <c r="H261" s="15">
        <v>9</v>
      </c>
      <c r="I261" s="14">
        <v>1550.19</v>
      </c>
      <c r="J261" s="14">
        <f>PRODUCT(Table1[[#This Row],[Quantity_Sold]],Table1[[#This Row],[Unit_Price]])</f>
        <v>13951.710000000001</v>
      </c>
    </row>
    <row r="262" spans="1:10" x14ac:dyDescent="0.35">
      <c r="A262" s="15">
        <v>1048</v>
      </c>
      <c r="B262" s="16">
        <v>45137</v>
      </c>
      <c r="C262" s="13" t="s">
        <v>18</v>
      </c>
      <c r="D262" s="13" t="s">
        <v>10</v>
      </c>
      <c r="E262" s="13" t="s">
        <v>24</v>
      </c>
      <c r="F262" s="13" t="s">
        <v>20</v>
      </c>
      <c r="G262" s="13" t="s">
        <v>23</v>
      </c>
      <c r="H262" s="15">
        <v>6</v>
      </c>
      <c r="I262" s="14">
        <v>2309.4299999999998</v>
      </c>
      <c r="J262" s="14">
        <f>PRODUCT(Table1[[#This Row],[Quantity_Sold]],Table1[[#This Row],[Unit_Price]])</f>
        <v>13856.579999999998</v>
      </c>
    </row>
    <row r="263" spans="1:10" x14ac:dyDescent="0.35">
      <c r="A263" s="15">
        <v>1024</v>
      </c>
      <c r="B263" s="16">
        <v>45241</v>
      </c>
      <c r="C263" s="13" t="s">
        <v>17</v>
      </c>
      <c r="D263" s="13" t="s">
        <v>15</v>
      </c>
      <c r="E263" s="13" t="s">
        <v>11</v>
      </c>
      <c r="F263" s="13" t="s">
        <v>16</v>
      </c>
      <c r="G263" s="13" t="s">
        <v>13</v>
      </c>
      <c r="H263" s="15">
        <v>21</v>
      </c>
      <c r="I263" s="14">
        <v>641.09</v>
      </c>
      <c r="J263" s="14">
        <f>PRODUCT(Table1[[#This Row],[Quantity_Sold]],Table1[[#This Row],[Unit_Price]])</f>
        <v>13462.890000000001</v>
      </c>
    </row>
    <row r="264" spans="1:10" x14ac:dyDescent="0.35">
      <c r="A264" s="15">
        <v>1009</v>
      </c>
      <c r="B264" s="16">
        <v>45231</v>
      </c>
      <c r="C264" s="13" t="s">
        <v>9</v>
      </c>
      <c r="D264" s="13" t="s">
        <v>15</v>
      </c>
      <c r="E264" s="13" t="s">
        <v>11</v>
      </c>
      <c r="F264" s="13" t="s">
        <v>20</v>
      </c>
      <c r="G264" s="13" t="s">
        <v>13</v>
      </c>
      <c r="H264" s="15">
        <v>14</v>
      </c>
      <c r="I264" s="14">
        <v>958.76</v>
      </c>
      <c r="J264" s="14">
        <f>PRODUCT(Table1[[#This Row],[Quantity_Sold]],Table1[[#This Row],[Unit_Price]])</f>
        <v>13422.64</v>
      </c>
    </row>
    <row r="265" spans="1:10" x14ac:dyDescent="0.35">
      <c r="A265" s="15">
        <v>1065</v>
      </c>
      <c r="B265" s="16">
        <v>45235</v>
      </c>
      <c r="C265" s="13" t="s">
        <v>18</v>
      </c>
      <c r="D265" s="13" t="s">
        <v>10</v>
      </c>
      <c r="E265" s="13" t="s">
        <v>24</v>
      </c>
      <c r="F265" s="13" t="s">
        <v>16</v>
      </c>
      <c r="G265" s="13" t="s">
        <v>13</v>
      </c>
      <c r="H265" s="15">
        <v>3</v>
      </c>
      <c r="I265" s="14">
        <v>4362.4399999999996</v>
      </c>
      <c r="J265" s="14">
        <f>PRODUCT(Table1[[#This Row],[Quantity_Sold]],Table1[[#This Row],[Unit_Price]])</f>
        <v>13087.32</v>
      </c>
    </row>
    <row r="266" spans="1:10" x14ac:dyDescent="0.35">
      <c r="A266" s="15">
        <v>1093</v>
      </c>
      <c r="B266" s="16">
        <v>45054</v>
      </c>
      <c r="C266" s="13" t="s">
        <v>9</v>
      </c>
      <c r="D266" s="13" t="s">
        <v>10</v>
      </c>
      <c r="E266" s="13" t="s">
        <v>11</v>
      </c>
      <c r="F266" s="13" t="s">
        <v>20</v>
      </c>
      <c r="G266" s="13" t="s">
        <v>13</v>
      </c>
      <c r="H266" s="15">
        <v>17</v>
      </c>
      <c r="I266" s="14">
        <v>764.54</v>
      </c>
      <c r="J266" s="14">
        <f>PRODUCT(Table1[[#This Row],[Quantity_Sold]],Table1[[#This Row],[Unit_Price]])</f>
        <v>12997.18</v>
      </c>
    </row>
    <row r="267" spans="1:10" x14ac:dyDescent="0.35">
      <c r="A267" s="15">
        <v>1027</v>
      </c>
      <c r="B267" s="16">
        <v>44941</v>
      </c>
      <c r="C267" s="13" t="s">
        <v>9</v>
      </c>
      <c r="D267" s="13" t="s">
        <v>15</v>
      </c>
      <c r="E267" s="13" t="s">
        <v>11</v>
      </c>
      <c r="F267" s="13" t="s">
        <v>12</v>
      </c>
      <c r="G267" s="13" t="s">
        <v>13</v>
      </c>
      <c r="H267" s="15">
        <v>26</v>
      </c>
      <c r="I267" s="14">
        <v>477.67</v>
      </c>
      <c r="J267" s="14">
        <f>PRODUCT(Table1[[#This Row],[Quantity_Sold]],Table1[[#This Row],[Unit_Price]])</f>
        <v>12419.42</v>
      </c>
    </row>
    <row r="268" spans="1:10" x14ac:dyDescent="0.35">
      <c r="A268" s="15">
        <v>1023</v>
      </c>
      <c r="B268" s="16">
        <v>45044</v>
      </c>
      <c r="C268" s="13" t="s">
        <v>19</v>
      </c>
      <c r="D268" s="13" t="s">
        <v>22</v>
      </c>
      <c r="E268" s="13" t="s">
        <v>11</v>
      </c>
      <c r="F268" s="13" t="s">
        <v>20</v>
      </c>
      <c r="G268" s="13" t="s">
        <v>13</v>
      </c>
      <c r="H268" s="15">
        <v>5</v>
      </c>
      <c r="I268" s="14">
        <v>2482.34</v>
      </c>
      <c r="J268" s="14">
        <f>PRODUCT(Table1[[#This Row],[Quantity_Sold]],Table1[[#This Row],[Unit_Price]])</f>
        <v>12411.7</v>
      </c>
    </row>
    <row r="269" spans="1:10" x14ac:dyDescent="0.35">
      <c r="A269" s="15">
        <v>1045</v>
      </c>
      <c r="B269" s="16">
        <v>45083</v>
      </c>
      <c r="C269" s="13" t="s">
        <v>9</v>
      </c>
      <c r="D269" s="13" t="s">
        <v>22</v>
      </c>
      <c r="E269" s="13" t="s">
        <v>24</v>
      </c>
      <c r="F269" s="13" t="s">
        <v>16</v>
      </c>
      <c r="G269" s="13" t="s">
        <v>23</v>
      </c>
      <c r="H269" s="15">
        <v>15</v>
      </c>
      <c r="I269" s="14">
        <v>799.04</v>
      </c>
      <c r="J269" s="14">
        <f>PRODUCT(Table1[[#This Row],[Quantity_Sold]],Table1[[#This Row],[Unit_Price]])</f>
        <v>11985.599999999999</v>
      </c>
    </row>
    <row r="270" spans="1:10" x14ac:dyDescent="0.35">
      <c r="A270" s="15">
        <v>1048</v>
      </c>
      <c r="B270" s="16">
        <v>45199</v>
      </c>
      <c r="C270" s="13" t="s">
        <v>19</v>
      </c>
      <c r="D270" s="13" t="s">
        <v>10</v>
      </c>
      <c r="E270" s="13" t="s">
        <v>24</v>
      </c>
      <c r="F270" s="13" t="s">
        <v>20</v>
      </c>
      <c r="G270" s="13" t="s">
        <v>13</v>
      </c>
      <c r="H270" s="15">
        <v>4</v>
      </c>
      <c r="I270" s="14">
        <v>2910.51</v>
      </c>
      <c r="J270" s="14">
        <f>PRODUCT(Table1[[#This Row],[Quantity_Sold]],Table1[[#This Row],[Unit_Price]])</f>
        <v>11642.04</v>
      </c>
    </row>
    <row r="271" spans="1:10" x14ac:dyDescent="0.35">
      <c r="A271" s="15">
        <v>1008</v>
      </c>
      <c r="B271" s="16">
        <v>45265</v>
      </c>
      <c r="C271" s="13" t="s">
        <v>19</v>
      </c>
      <c r="D271" s="13" t="s">
        <v>22</v>
      </c>
      <c r="E271" s="13" t="s">
        <v>11</v>
      </c>
      <c r="F271" s="13" t="s">
        <v>20</v>
      </c>
      <c r="G271" s="13" t="s">
        <v>13</v>
      </c>
      <c r="H271" s="15">
        <v>27</v>
      </c>
      <c r="I271" s="14">
        <v>429.29</v>
      </c>
      <c r="J271" s="14">
        <f>PRODUCT(Table1[[#This Row],[Quantity_Sold]],Table1[[#This Row],[Unit_Price]])</f>
        <v>11590.83</v>
      </c>
    </row>
    <row r="272" spans="1:10" x14ac:dyDescent="0.35">
      <c r="A272" s="15">
        <v>1003</v>
      </c>
      <c r="B272" s="16">
        <v>45290</v>
      </c>
      <c r="C272" s="13" t="s">
        <v>18</v>
      </c>
      <c r="D272" s="13" t="s">
        <v>10</v>
      </c>
      <c r="E272" s="13" t="s">
        <v>11</v>
      </c>
      <c r="F272" s="13" t="s">
        <v>12</v>
      </c>
      <c r="G272" s="13" t="s">
        <v>13</v>
      </c>
      <c r="H272" s="15">
        <v>17</v>
      </c>
      <c r="I272" s="14">
        <v>676.66</v>
      </c>
      <c r="J272" s="14">
        <f>PRODUCT(Table1[[#This Row],[Quantity_Sold]],Table1[[#This Row],[Unit_Price]])</f>
        <v>11503.22</v>
      </c>
    </row>
    <row r="273" spans="1:10" x14ac:dyDescent="0.35">
      <c r="A273" s="15">
        <v>1034</v>
      </c>
      <c r="B273" s="16">
        <v>45030</v>
      </c>
      <c r="C273" s="13" t="s">
        <v>18</v>
      </c>
      <c r="D273" s="13" t="s">
        <v>21</v>
      </c>
      <c r="E273" s="13" t="s">
        <v>24</v>
      </c>
      <c r="F273" s="13" t="s">
        <v>12</v>
      </c>
      <c r="G273" s="13" t="s">
        <v>23</v>
      </c>
      <c r="H273" s="15">
        <v>3</v>
      </c>
      <c r="I273" s="14">
        <v>3732</v>
      </c>
      <c r="J273" s="14">
        <f>PRODUCT(Table1[[#This Row],[Quantity_Sold]],Table1[[#This Row],[Unit_Price]])</f>
        <v>11196</v>
      </c>
    </row>
    <row r="274" spans="1:10" x14ac:dyDescent="0.35">
      <c r="A274" s="15">
        <v>1015</v>
      </c>
      <c r="B274" s="16">
        <v>45190</v>
      </c>
      <c r="C274" s="13" t="s">
        <v>14</v>
      </c>
      <c r="D274" s="13" t="s">
        <v>15</v>
      </c>
      <c r="E274" s="13" t="s">
        <v>11</v>
      </c>
      <c r="F274" s="13" t="s">
        <v>16</v>
      </c>
      <c r="G274" s="13" t="s">
        <v>13</v>
      </c>
      <c r="H274" s="15">
        <v>30</v>
      </c>
      <c r="I274" s="14">
        <v>371.4</v>
      </c>
      <c r="J274" s="14">
        <f>PRODUCT(Table1[[#This Row],[Quantity_Sold]],Table1[[#This Row],[Unit_Price]])</f>
        <v>11142</v>
      </c>
    </row>
    <row r="275" spans="1:10" x14ac:dyDescent="0.35">
      <c r="A275" s="15">
        <v>1033</v>
      </c>
      <c r="B275" s="16">
        <v>44989</v>
      </c>
      <c r="C275" s="13" t="s">
        <v>9</v>
      </c>
      <c r="D275" s="13" t="s">
        <v>21</v>
      </c>
      <c r="E275" s="13" t="s">
        <v>11</v>
      </c>
      <c r="F275" s="13" t="s">
        <v>12</v>
      </c>
      <c r="G275" s="13" t="s">
        <v>13</v>
      </c>
      <c r="H275" s="15">
        <v>14</v>
      </c>
      <c r="I275" s="14">
        <v>753.81</v>
      </c>
      <c r="J275" s="14">
        <f>PRODUCT(Table1[[#This Row],[Quantity_Sold]],Table1[[#This Row],[Unit_Price]])</f>
        <v>10553.34</v>
      </c>
    </row>
    <row r="276" spans="1:10" x14ac:dyDescent="0.35">
      <c r="A276" s="15">
        <v>1070</v>
      </c>
      <c r="B276" s="16">
        <v>44927</v>
      </c>
      <c r="C276" s="13" t="s">
        <v>17</v>
      </c>
      <c r="D276" s="13" t="s">
        <v>10</v>
      </c>
      <c r="E276" s="13" t="s">
        <v>11</v>
      </c>
      <c r="F276" s="13" t="s">
        <v>16</v>
      </c>
      <c r="G276" s="13" t="s">
        <v>13</v>
      </c>
      <c r="H276" s="15">
        <v>12</v>
      </c>
      <c r="I276" s="14">
        <v>863.03</v>
      </c>
      <c r="J276" s="14">
        <f>PRODUCT(Table1[[#This Row],[Quantity_Sold]],Table1[[#This Row],[Unit_Price]])</f>
        <v>10356.36</v>
      </c>
    </row>
    <row r="277" spans="1:10" x14ac:dyDescent="0.35">
      <c r="A277" s="15">
        <v>1005</v>
      </c>
      <c r="B277" s="16">
        <v>45015</v>
      </c>
      <c r="C277" s="13" t="s">
        <v>18</v>
      </c>
      <c r="D277" s="13" t="s">
        <v>22</v>
      </c>
      <c r="E277" s="13" t="s">
        <v>24</v>
      </c>
      <c r="F277" s="13" t="s">
        <v>20</v>
      </c>
      <c r="G277" s="13" t="s">
        <v>13</v>
      </c>
      <c r="H277" s="15">
        <v>12</v>
      </c>
      <c r="I277" s="14">
        <v>802.43</v>
      </c>
      <c r="J277" s="14">
        <f>PRODUCT(Table1[[#This Row],[Quantity_Sold]],Table1[[#This Row],[Unit_Price]])</f>
        <v>9629.16</v>
      </c>
    </row>
    <row r="278" spans="1:10" x14ac:dyDescent="0.35">
      <c r="A278" s="15">
        <v>1061</v>
      </c>
      <c r="B278" s="16">
        <v>45009</v>
      </c>
      <c r="C278" s="13" t="s">
        <v>19</v>
      </c>
      <c r="D278" s="13" t="s">
        <v>22</v>
      </c>
      <c r="E278" s="13" t="s">
        <v>24</v>
      </c>
      <c r="F278" s="13" t="s">
        <v>20</v>
      </c>
      <c r="G278" s="13" t="s">
        <v>23</v>
      </c>
      <c r="H278" s="15">
        <v>13</v>
      </c>
      <c r="I278" s="14">
        <v>692.71</v>
      </c>
      <c r="J278" s="14">
        <f>PRODUCT(Table1[[#This Row],[Quantity_Sold]],Table1[[#This Row],[Unit_Price]])</f>
        <v>9005.23</v>
      </c>
    </row>
    <row r="279" spans="1:10" x14ac:dyDescent="0.35">
      <c r="A279" s="15">
        <v>1042</v>
      </c>
      <c r="B279" s="16">
        <v>44957</v>
      </c>
      <c r="C279" s="13" t="s">
        <v>18</v>
      </c>
      <c r="D279" s="13" t="s">
        <v>15</v>
      </c>
      <c r="E279" s="13" t="s">
        <v>11</v>
      </c>
      <c r="F279" s="13" t="s">
        <v>12</v>
      </c>
      <c r="G279" s="13" t="s">
        <v>23</v>
      </c>
      <c r="H279" s="15">
        <v>11</v>
      </c>
      <c r="I279" s="14">
        <v>814.14</v>
      </c>
      <c r="J279" s="14">
        <f>PRODUCT(Table1[[#This Row],[Quantity_Sold]],Table1[[#This Row],[Unit_Price]])</f>
        <v>8955.5399999999991</v>
      </c>
    </row>
    <row r="280" spans="1:10" x14ac:dyDescent="0.35">
      <c r="A280" s="15">
        <v>1005</v>
      </c>
      <c r="B280" s="16">
        <v>44993</v>
      </c>
      <c r="C280" s="13" t="s">
        <v>18</v>
      </c>
      <c r="D280" s="13" t="s">
        <v>21</v>
      </c>
      <c r="E280" s="13" t="s">
        <v>24</v>
      </c>
      <c r="F280" s="13" t="s">
        <v>20</v>
      </c>
      <c r="G280" s="13" t="s">
        <v>23</v>
      </c>
      <c r="H280" s="15">
        <v>12</v>
      </c>
      <c r="I280" s="14">
        <v>683.78</v>
      </c>
      <c r="J280" s="14">
        <f>PRODUCT(Table1[[#This Row],[Quantity_Sold]],Table1[[#This Row],[Unit_Price]])</f>
        <v>8205.36</v>
      </c>
    </row>
    <row r="281" spans="1:10" x14ac:dyDescent="0.35">
      <c r="A281" s="15">
        <v>1062</v>
      </c>
      <c r="B281" s="16">
        <v>45208</v>
      </c>
      <c r="C281" s="13" t="s">
        <v>9</v>
      </c>
      <c r="D281" s="13" t="s">
        <v>22</v>
      </c>
      <c r="E281" s="13" t="s">
        <v>11</v>
      </c>
      <c r="F281" s="13" t="s">
        <v>12</v>
      </c>
      <c r="G281" s="13" t="s">
        <v>23</v>
      </c>
      <c r="H281" s="15">
        <v>4</v>
      </c>
      <c r="I281" s="14">
        <v>2034.15</v>
      </c>
      <c r="J281" s="14">
        <f>PRODUCT(Table1[[#This Row],[Quantity_Sold]],Table1[[#This Row],[Unit_Price]])</f>
        <v>8136.6</v>
      </c>
    </row>
    <row r="282" spans="1:10" x14ac:dyDescent="0.35">
      <c r="A282" s="15">
        <v>1052</v>
      </c>
      <c r="B282" s="16">
        <v>45282</v>
      </c>
      <c r="C282" s="13" t="s">
        <v>19</v>
      </c>
      <c r="D282" s="13" t="s">
        <v>10</v>
      </c>
      <c r="E282" s="13" t="s">
        <v>11</v>
      </c>
      <c r="F282" s="13" t="s">
        <v>16</v>
      </c>
      <c r="G282" s="13" t="s">
        <v>23</v>
      </c>
      <c r="H282" s="15">
        <v>2</v>
      </c>
      <c r="I282" s="14">
        <v>4017.91</v>
      </c>
      <c r="J282" s="14">
        <f>PRODUCT(Table1[[#This Row],[Quantity_Sold]],Table1[[#This Row],[Unit_Price]])</f>
        <v>8035.82</v>
      </c>
    </row>
    <row r="283" spans="1:10" x14ac:dyDescent="0.35">
      <c r="A283" s="15">
        <v>1043</v>
      </c>
      <c r="B283" s="16">
        <v>45256</v>
      </c>
      <c r="C283" s="13" t="s">
        <v>9</v>
      </c>
      <c r="D283" s="13" t="s">
        <v>22</v>
      </c>
      <c r="E283" s="13" t="s">
        <v>24</v>
      </c>
      <c r="F283" s="13" t="s">
        <v>16</v>
      </c>
      <c r="G283" s="13" t="s">
        <v>23</v>
      </c>
      <c r="H283" s="15">
        <v>3</v>
      </c>
      <c r="I283" s="14">
        <v>2186.42</v>
      </c>
      <c r="J283" s="14">
        <f>PRODUCT(Table1[[#This Row],[Quantity_Sold]],Table1[[#This Row],[Unit_Price]])</f>
        <v>6559.26</v>
      </c>
    </row>
    <row r="284" spans="1:10" x14ac:dyDescent="0.35">
      <c r="A284" s="15">
        <v>1051</v>
      </c>
      <c r="B284" s="16">
        <v>45272</v>
      </c>
      <c r="C284" s="13" t="s">
        <v>17</v>
      </c>
      <c r="D284" s="13" t="s">
        <v>21</v>
      </c>
      <c r="E284" s="13" t="s">
        <v>24</v>
      </c>
      <c r="F284" s="13" t="s">
        <v>20</v>
      </c>
      <c r="G284" s="13" t="s">
        <v>23</v>
      </c>
      <c r="H284" s="15">
        <v>8</v>
      </c>
      <c r="I284" s="14">
        <v>792.21</v>
      </c>
      <c r="J284" s="14">
        <f>PRODUCT(Table1[[#This Row],[Quantity_Sold]],Table1[[#This Row],[Unit_Price]])</f>
        <v>6337.68</v>
      </c>
    </row>
    <row r="285" spans="1:10" x14ac:dyDescent="0.35">
      <c r="A285" s="15">
        <v>1004</v>
      </c>
      <c r="B285" s="16">
        <v>45104</v>
      </c>
      <c r="C285" s="13" t="s">
        <v>18</v>
      </c>
      <c r="D285" s="13" t="s">
        <v>22</v>
      </c>
      <c r="E285" s="13" t="s">
        <v>11</v>
      </c>
      <c r="F285" s="13" t="s">
        <v>20</v>
      </c>
      <c r="G285" s="13" t="s">
        <v>13</v>
      </c>
      <c r="H285" s="15">
        <v>2</v>
      </c>
      <c r="I285" s="14">
        <v>2977.52</v>
      </c>
      <c r="J285" s="14">
        <f>PRODUCT(Table1[[#This Row],[Quantity_Sold]],Table1[[#This Row],[Unit_Price]])</f>
        <v>5955.04</v>
      </c>
    </row>
    <row r="286" spans="1:10" x14ac:dyDescent="0.35">
      <c r="A286" s="15">
        <v>1063</v>
      </c>
      <c r="B286" s="16">
        <v>45139</v>
      </c>
      <c r="C286" s="13" t="s">
        <v>9</v>
      </c>
      <c r="D286" s="13" t="s">
        <v>22</v>
      </c>
      <c r="E286" s="13" t="s">
        <v>11</v>
      </c>
      <c r="F286" s="13" t="s">
        <v>16</v>
      </c>
      <c r="G286" s="13" t="s">
        <v>13</v>
      </c>
      <c r="H286" s="15">
        <v>4</v>
      </c>
      <c r="I286" s="14">
        <v>1475.29</v>
      </c>
      <c r="J286" s="14">
        <f>PRODUCT(Table1[[#This Row],[Quantity_Sold]],Table1[[#This Row],[Unit_Price]])</f>
        <v>5901.16</v>
      </c>
    </row>
    <row r="287" spans="1:10" x14ac:dyDescent="0.35">
      <c r="A287" s="15">
        <v>1028</v>
      </c>
      <c r="B287" s="16">
        <v>45250</v>
      </c>
      <c r="C287" s="13" t="s">
        <v>18</v>
      </c>
      <c r="D287" s="13" t="s">
        <v>15</v>
      </c>
      <c r="E287" s="13" t="s">
        <v>11</v>
      </c>
      <c r="F287" s="13" t="s">
        <v>20</v>
      </c>
      <c r="G287" s="13" t="s">
        <v>23</v>
      </c>
      <c r="H287" s="15">
        <v>5</v>
      </c>
      <c r="I287" s="14">
        <v>991.21</v>
      </c>
      <c r="J287" s="14">
        <f>PRODUCT(Table1[[#This Row],[Quantity_Sold]],Table1[[#This Row],[Unit_Price]])</f>
        <v>4956.05</v>
      </c>
    </row>
    <row r="288" spans="1:10" x14ac:dyDescent="0.35">
      <c r="A288" s="15">
        <v>1086</v>
      </c>
      <c r="B288" s="16">
        <v>45079</v>
      </c>
      <c r="C288" s="13" t="s">
        <v>9</v>
      </c>
      <c r="D288" s="13" t="s">
        <v>22</v>
      </c>
      <c r="E288" s="13" t="s">
        <v>24</v>
      </c>
      <c r="F288" s="13" t="s">
        <v>12</v>
      </c>
      <c r="G288" s="13" t="s">
        <v>23</v>
      </c>
      <c r="H288" s="15">
        <v>3</v>
      </c>
      <c r="I288" s="14">
        <v>1625.71</v>
      </c>
      <c r="J288" s="14">
        <f>PRODUCT(Table1[[#This Row],[Quantity_Sold]],Table1[[#This Row],[Unit_Price]])</f>
        <v>4877.13</v>
      </c>
    </row>
    <row r="289" spans="1:10" x14ac:dyDescent="0.35">
      <c r="A289" s="15">
        <v>1052</v>
      </c>
      <c r="B289" s="16">
        <v>44960</v>
      </c>
      <c r="C289" s="13" t="s">
        <v>9</v>
      </c>
      <c r="D289" s="13" t="s">
        <v>10</v>
      </c>
      <c r="E289" s="13" t="s">
        <v>11</v>
      </c>
      <c r="F289" s="13" t="s">
        <v>12</v>
      </c>
      <c r="G289" s="13" t="s">
        <v>23</v>
      </c>
      <c r="H289" s="15">
        <v>18</v>
      </c>
      <c r="I289" s="14">
        <v>267.22000000000003</v>
      </c>
      <c r="J289" s="14">
        <f>PRODUCT(Table1[[#This Row],[Quantity_Sold]],Table1[[#This Row],[Unit_Price]])</f>
        <v>4809.9600000000009</v>
      </c>
    </row>
    <row r="290" spans="1:10" x14ac:dyDescent="0.35">
      <c r="A290" s="15">
        <v>1063</v>
      </c>
      <c r="B290" s="16">
        <v>45215</v>
      </c>
      <c r="C290" s="13" t="s">
        <v>19</v>
      </c>
      <c r="D290" s="13" t="s">
        <v>21</v>
      </c>
      <c r="E290" s="13" t="s">
        <v>24</v>
      </c>
      <c r="F290" s="13" t="s">
        <v>16</v>
      </c>
      <c r="G290" s="13" t="s">
        <v>13</v>
      </c>
      <c r="H290" s="15">
        <v>4</v>
      </c>
      <c r="I290" s="14">
        <v>1201.3900000000001</v>
      </c>
      <c r="J290" s="14">
        <f>PRODUCT(Table1[[#This Row],[Quantity_Sold]],Table1[[#This Row],[Unit_Price]])</f>
        <v>4805.5600000000004</v>
      </c>
    </row>
    <row r="291" spans="1:10" x14ac:dyDescent="0.35">
      <c r="A291" s="15">
        <v>1012</v>
      </c>
      <c r="B291" s="16">
        <v>45250</v>
      </c>
      <c r="C291" s="13" t="s">
        <v>9</v>
      </c>
      <c r="D291" s="13" t="s">
        <v>15</v>
      </c>
      <c r="E291" s="13" t="s">
        <v>11</v>
      </c>
      <c r="F291" s="13" t="s">
        <v>16</v>
      </c>
      <c r="G291" s="13" t="s">
        <v>23</v>
      </c>
      <c r="H291" s="15">
        <v>1</v>
      </c>
      <c r="I291" s="14">
        <v>4528.7700000000004</v>
      </c>
      <c r="J291" s="14">
        <f>PRODUCT(Table1[[#This Row],[Quantity_Sold]],Table1[[#This Row],[Unit_Price]])</f>
        <v>4528.7700000000004</v>
      </c>
    </row>
    <row r="292" spans="1:10" x14ac:dyDescent="0.35">
      <c r="A292" s="15">
        <v>1096</v>
      </c>
      <c r="B292" s="16">
        <v>45087</v>
      </c>
      <c r="C292" s="13" t="s">
        <v>19</v>
      </c>
      <c r="D292" s="13" t="s">
        <v>10</v>
      </c>
      <c r="E292" s="13" t="s">
        <v>24</v>
      </c>
      <c r="F292" s="13" t="s">
        <v>20</v>
      </c>
      <c r="G292" s="13" t="s">
        <v>13</v>
      </c>
      <c r="H292" s="15">
        <v>6</v>
      </c>
      <c r="I292" s="14">
        <v>742</v>
      </c>
      <c r="J292" s="14">
        <f>PRODUCT(Table1[[#This Row],[Quantity_Sold]],Table1[[#This Row],[Unit_Price]])</f>
        <v>4452</v>
      </c>
    </row>
    <row r="293" spans="1:10" x14ac:dyDescent="0.35">
      <c r="A293" s="15">
        <v>1052</v>
      </c>
      <c r="B293" s="16">
        <v>45030</v>
      </c>
      <c r="C293" s="13" t="s">
        <v>14</v>
      </c>
      <c r="D293" s="13" t="s">
        <v>10</v>
      </c>
      <c r="E293" s="13" t="s">
        <v>11</v>
      </c>
      <c r="F293" s="13" t="s">
        <v>16</v>
      </c>
      <c r="G293" s="13" t="s">
        <v>13</v>
      </c>
      <c r="H293" s="15">
        <v>5</v>
      </c>
      <c r="I293" s="14">
        <v>856.91</v>
      </c>
      <c r="J293" s="14">
        <f>PRODUCT(Table1[[#This Row],[Quantity_Sold]],Table1[[#This Row],[Unit_Price]])</f>
        <v>4284.55</v>
      </c>
    </row>
    <row r="294" spans="1:10" x14ac:dyDescent="0.35">
      <c r="A294" s="15">
        <v>1027</v>
      </c>
      <c r="B294" s="16">
        <v>44964</v>
      </c>
      <c r="C294" s="13" t="s">
        <v>9</v>
      </c>
      <c r="D294" s="13" t="s">
        <v>15</v>
      </c>
      <c r="E294" s="13" t="s">
        <v>24</v>
      </c>
      <c r="F294" s="13" t="s">
        <v>20</v>
      </c>
      <c r="G294" s="13" t="s">
        <v>23</v>
      </c>
      <c r="H294" s="15">
        <v>3</v>
      </c>
      <c r="I294" s="14">
        <v>1271.99</v>
      </c>
      <c r="J294" s="14">
        <f>PRODUCT(Table1[[#This Row],[Quantity_Sold]],Table1[[#This Row],[Unit_Price]])</f>
        <v>3815.9700000000003</v>
      </c>
    </row>
    <row r="295" spans="1:10" x14ac:dyDescent="0.35">
      <c r="A295" s="15">
        <v>1049</v>
      </c>
      <c r="B295" s="16">
        <v>45063</v>
      </c>
      <c r="C295" s="13" t="s">
        <v>18</v>
      </c>
      <c r="D295" s="13" t="s">
        <v>10</v>
      </c>
      <c r="E295" s="13" t="s">
        <v>11</v>
      </c>
      <c r="F295" s="13" t="s">
        <v>16</v>
      </c>
      <c r="G295" s="13" t="s">
        <v>23</v>
      </c>
      <c r="H295" s="15">
        <v>1</v>
      </c>
      <c r="I295" s="14">
        <v>3317.75</v>
      </c>
      <c r="J295" s="14">
        <f>PRODUCT(Table1[[#This Row],[Quantity_Sold]],Table1[[#This Row],[Unit_Price]])</f>
        <v>3317.75</v>
      </c>
    </row>
    <row r="296" spans="1:10" x14ac:dyDescent="0.35">
      <c r="A296" s="15">
        <v>1015</v>
      </c>
      <c r="B296" s="16">
        <v>45246</v>
      </c>
      <c r="C296" s="13" t="s">
        <v>17</v>
      </c>
      <c r="D296" s="13" t="s">
        <v>10</v>
      </c>
      <c r="E296" s="13" t="s">
        <v>24</v>
      </c>
      <c r="F296" s="13" t="s">
        <v>16</v>
      </c>
      <c r="G296" s="13" t="s">
        <v>13</v>
      </c>
      <c r="H296" s="15">
        <v>1</v>
      </c>
      <c r="I296" s="14">
        <v>3027.74</v>
      </c>
      <c r="J296" s="14">
        <f>PRODUCT(Table1[[#This Row],[Quantity_Sold]],Table1[[#This Row],[Unit_Price]])</f>
        <v>3027.74</v>
      </c>
    </row>
    <row r="297" spans="1:10" x14ac:dyDescent="0.35">
      <c r="A297" s="15">
        <v>1007</v>
      </c>
      <c r="B297" s="16">
        <v>44988</v>
      </c>
      <c r="C297" s="13" t="s">
        <v>17</v>
      </c>
      <c r="D297" s="13" t="s">
        <v>15</v>
      </c>
      <c r="E297" s="13" t="s">
        <v>11</v>
      </c>
      <c r="F297" s="13" t="s">
        <v>20</v>
      </c>
      <c r="G297" s="13" t="s">
        <v>23</v>
      </c>
      <c r="H297" s="15">
        <v>1</v>
      </c>
      <c r="I297" s="14">
        <v>2637.91</v>
      </c>
      <c r="J297" s="14">
        <f>PRODUCT(Table1[[#This Row],[Quantity_Sold]],Table1[[#This Row],[Unit_Price]])</f>
        <v>2637.91</v>
      </c>
    </row>
    <row r="298" spans="1:10" x14ac:dyDescent="0.35">
      <c r="A298" s="15">
        <v>1100</v>
      </c>
      <c r="B298" s="16">
        <v>45245</v>
      </c>
      <c r="C298" s="13" t="s">
        <v>17</v>
      </c>
      <c r="D298" s="13" t="s">
        <v>10</v>
      </c>
      <c r="E298" s="13" t="s">
        <v>24</v>
      </c>
      <c r="F298" s="13" t="s">
        <v>16</v>
      </c>
      <c r="G298" s="13" t="s">
        <v>23</v>
      </c>
      <c r="H298" s="15">
        <v>2</v>
      </c>
      <c r="I298" s="14">
        <v>1189.3499999999999</v>
      </c>
      <c r="J298" s="14">
        <f>PRODUCT(Table1[[#This Row],[Quantity_Sold]],Table1[[#This Row],[Unit_Price]])</f>
        <v>2378.6999999999998</v>
      </c>
    </row>
    <row r="299" spans="1:10" x14ac:dyDescent="0.35">
      <c r="A299" s="15">
        <v>1023</v>
      </c>
      <c r="B299" s="16">
        <v>44931</v>
      </c>
      <c r="C299" s="13" t="s">
        <v>18</v>
      </c>
      <c r="D299" s="13" t="s">
        <v>21</v>
      </c>
      <c r="E299" s="13" t="s">
        <v>11</v>
      </c>
      <c r="F299" s="13" t="s">
        <v>16</v>
      </c>
      <c r="G299" s="13" t="s">
        <v>23</v>
      </c>
      <c r="H299" s="15">
        <v>2</v>
      </c>
      <c r="I299" s="14">
        <v>914.77</v>
      </c>
      <c r="J299" s="14">
        <f>PRODUCT(Table1[[#This Row],[Quantity_Sold]],Table1[[#This Row],[Unit_Price]])</f>
        <v>1829.54</v>
      </c>
    </row>
    <row r="300" spans="1:10" x14ac:dyDescent="0.35">
      <c r="A300" s="15">
        <v>1038</v>
      </c>
      <c r="B300" s="16">
        <v>45239</v>
      </c>
      <c r="C300" s="13" t="s">
        <v>14</v>
      </c>
      <c r="D300" s="13" t="s">
        <v>15</v>
      </c>
      <c r="E300" s="13" t="s">
        <v>11</v>
      </c>
      <c r="F300" s="13" t="s">
        <v>20</v>
      </c>
      <c r="G300" s="13" t="s">
        <v>23</v>
      </c>
      <c r="H300" s="15">
        <v>1</v>
      </c>
      <c r="I300" s="14">
        <v>1709.71</v>
      </c>
      <c r="J300" s="14">
        <f>PRODUCT(Table1[[#This Row],[Quantity_Sold]],Table1[[#This Row],[Unit_Price]])</f>
        <v>1709.71</v>
      </c>
    </row>
    <row r="301" spans="1:10" x14ac:dyDescent="0.35">
      <c r="A301" s="15">
        <v>1032</v>
      </c>
      <c r="B301" s="16">
        <v>45245</v>
      </c>
      <c r="C301" s="13" t="s">
        <v>18</v>
      </c>
      <c r="D301" s="13" t="s">
        <v>15</v>
      </c>
      <c r="E301" s="13" t="s">
        <v>11</v>
      </c>
      <c r="F301" s="13" t="s">
        <v>16</v>
      </c>
      <c r="G301" s="13" t="s">
        <v>13</v>
      </c>
      <c r="H301" s="15">
        <v>1</v>
      </c>
      <c r="I301" s="14">
        <v>865.76</v>
      </c>
      <c r="J301" s="14">
        <f>PRODUCT(Table1[[#This Row],[Quantity_Sold]],Table1[[#This Row],[Unit_Price]])</f>
        <v>865.76</v>
      </c>
    </row>
    <row r="302" spans="1:10" x14ac:dyDescent="0.35">
      <c r="A302" s="15">
        <v>1017</v>
      </c>
      <c r="B302" s="16">
        <v>45128</v>
      </c>
      <c r="C302" s="13" t="s">
        <v>14</v>
      </c>
      <c r="D302" s="13" t="s">
        <v>15</v>
      </c>
      <c r="E302" s="13" t="s">
        <v>11</v>
      </c>
      <c r="F302" s="13" t="s">
        <v>16</v>
      </c>
      <c r="G302" s="13" t="s">
        <v>23</v>
      </c>
      <c r="H302" s="15">
        <v>1</v>
      </c>
      <c r="I302" s="14">
        <v>404.69</v>
      </c>
      <c r="J302" s="14">
        <f>PRODUCT(Table1[[#This Row],[Quantity_Sold]],Table1[[#This Row],[Unit_Price]])</f>
        <v>404.69</v>
      </c>
    </row>
    <row r="303" spans="1:10" x14ac:dyDescent="0.35">
      <c r="A303" s="15">
        <v>1004</v>
      </c>
      <c r="B303" s="16">
        <v>45248</v>
      </c>
      <c r="C303" s="13" t="s">
        <v>18</v>
      </c>
      <c r="D303" s="13" t="s">
        <v>15</v>
      </c>
      <c r="E303" s="13" t="s">
        <v>11</v>
      </c>
      <c r="F303" s="13" t="s">
        <v>16</v>
      </c>
      <c r="G303" s="13" t="s">
        <v>13</v>
      </c>
      <c r="H303" s="15">
        <v>1</v>
      </c>
      <c r="I303" s="14">
        <v>211.18</v>
      </c>
      <c r="J303" s="14">
        <f>PRODUCT(Table1[[#This Row],[Quantity_Sold]],Table1[[#This Row],[Unit_Price]])</f>
        <v>211.18</v>
      </c>
    </row>
    <row r="304" spans="1:10" x14ac:dyDescent="0.35">
      <c r="A304" s="15" t="s">
        <v>37</v>
      </c>
      <c r="B304" s="16"/>
      <c r="C304" s="13"/>
      <c r="D304" s="13"/>
      <c r="E304" s="13"/>
      <c r="F304" s="13"/>
      <c r="G304" s="13"/>
      <c r="H304" s="15"/>
      <c r="I304" s="14"/>
      <c r="J304" s="14">
        <f>SUM(J2:J303)</f>
        <v>21789834.799999997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615B-252F-4982-B42E-486EA4E33B35}">
  <sheetPr>
    <tabColor theme="1" tint="4.9989318521683403E-2"/>
  </sheetPr>
  <dimension ref="A1:F12"/>
  <sheetViews>
    <sheetView showGridLines="0" zoomScale="98" workbookViewId="0">
      <selection activeCell="H10" sqref="H10"/>
    </sheetView>
  </sheetViews>
  <sheetFormatPr defaultRowHeight="14.5" x14ac:dyDescent="0.35"/>
  <cols>
    <col min="1" max="1" width="16.81640625" bestFit="1" customWidth="1"/>
    <col min="2" max="2" width="8.81640625" bestFit="1" customWidth="1"/>
    <col min="5" max="5" width="16.81640625" bestFit="1" customWidth="1"/>
    <col min="6" max="6" width="11" bestFit="1" customWidth="1"/>
  </cols>
  <sheetData>
    <row r="1" spans="1:6" x14ac:dyDescent="0.35">
      <c r="A1" s="6" t="s">
        <v>38</v>
      </c>
      <c r="B1" s="6"/>
      <c r="E1" s="6" t="s">
        <v>39</v>
      </c>
      <c r="F1" s="6"/>
    </row>
    <row r="3" spans="1:6" x14ac:dyDescent="0.35">
      <c r="A3" t="s">
        <v>27</v>
      </c>
      <c r="B3">
        <v>2786.9176158940372</v>
      </c>
      <c r="E3" t="s">
        <v>27</v>
      </c>
      <c r="F3">
        <v>72151.770860927165</v>
      </c>
    </row>
    <row r="4" spans="1:6" x14ac:dyDescent="0.35">
      <c r="A4" t="s">
        <v>28</v>
      </c>
      <c r="B4">
        <v>77.002699051303139</v>
      </c>
      <c r="E4" t="s">
        <v>28</v>
      </c>
      <c r="F4">
        <v>3288.9981392584641</v>
      </c>
    </row>
    <row r="5" spans="1:6" x14ac:dyDescent="0.35">
      <c r="A5" t="s">
        <v>29</v>
      </c>
      <c r="B5">
        <v>2868.48</v>
      </c>
      <c r="E5" t="s">
        <v>29</v>
      </c>
      <c r="F5">
        <v>54402.15</v>
      </c>
    </row>
    <row r="6" spans="1:6" x14ac:dyDescent="0.35">
      <c r="A6" t="s">
        <v>30</v>
      </c>
      <c r="B6">
        <v>1338.1642386785111</v>
      </c>
      <c r="E6" t="s">
        <v>30</v>
      </c>
      <c r="F6">
        <v>57156.693794636012</v>
      </c>
    </row>
    <row r="7" spans="1:6" x14ac:dyDescent="0.35">
      <c r="A7" t="s">
        <v>31</v>
      </c>
      <c r="B7">
        <v>1790683.529678039</v>
      </c>
      <c r="E7" t="s">
        <v>31</v>
      </c>
      <c r="F7">
        <v>3266887645.5337825</v>
      </c>
    </row>
    <row r="8" spans="1:6" x14ac:dyDescent="0.35">
      <c r="A8" t="s">
        <v>32</v>
      </c>
      <c r="B8">
        <v>4955.54</v>
      </c>
      <c r="E8" t="s">
        <v>32</v>
      </c>
      <c r="F8">
        <v>249100.82</v>
      </c>
    </row>
    <row r="9" spans="1:6" x14ac:dyDescent="0.35">
      <c r="A9" t="s">
        <v>33</v>
      </c>
      <c r="B9">
        <v>211.18</v>
      </c>
      <c r="E9" t="s">
        <v>33</v>
      </c>
      <c r="F9">
        <v>211.18</v>
      </c>
    </row>
    <row r="10" spans="1:6" x14ac:dyDescent="0.35">
      <c r="A10" t="s">
        <v>34</v>
      </c>
      <c r="B10">
        <v>5166.72</v>
      </c>
      <c r="E10" t="s">
        <v>34</v>
      </c>
      <c r="F10">
        <v>249312</v>
      </c>
    </row>
    <row r="11" spans="1:6" x14ac:dyDescent="0.35">
      <c r="A11" t="s">
        <v>35</v>
      </c>
      <c r="B11">
        <v>841649.11999999918</v>
      </c>
      <c r="E11" t="s">
        <v>35</v>
      </c>
      <c r="F11">
        <v>21789834.800000004</v>
      </c>
    </row>
    <row r="12" spans="1:6" ht="15" thickBot="1" x14ac:dyDescent="0.4">
      <c r="A12" s="5" t="s">
        <v>36</v>
      </c>
      <c r="B12" s="5">
        <v>302</v>
      </c>
      <c r="E12" s="5" t="s">
        <v>36</v>
      </c>
      <c r="F12" s="5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E07D-A667-4DBC-989B-66CE6770C180}">
  <sheetPr>
    <tabColor rgb="FF92D050"/>
  </sheetPr>
  <dimension ref="A1:G27"/>
  <sheetViews>
    <sheetView showGridLines="0" tabSelected="1" workbookViewId="0">
      <selection activeCell="G15" sqref="G15"/>
    </sheetView>
  </sheetViews>
  <sheetFormatPr defaultRowHeight="15.5" x14ac:dyDescent="0.35"/>
  <cols>
    <col min="1" max="1" width="12.36328125" style="9" bestFit="1" customWidth="1"/>
    <col min="2" max="2" width="15.1796875" style="9" bestFit="1" customWidth="1"/>
    <col min="3" max="3" width="8.7265625" style="9"/>
    <col min="4" max="4" width="12.36328125" style="9" bestFit="1" customWidth="1"/>
    <col min="5" max="5" width="14.36328125" style="9" bestFit="1" customWidth="1"/>
    <col min="6" max="7" width="10.7265625" style="9" bestFit="1" customWidth="1"/>
    <col min="8" max="16384" width="8.7265625" style="9"/>
  </cols>
  <sheetData>
    <row r="1" spans="1:7" x14ac:dyDescent="0.35">
      <c r="A1" s="17" t="s">
        <v>55</v>
      </c>
      <c r="B1" s="17"/>
      <c r="D1" s="17" t="s">
        <v>56</v>
      </c>
      <c r="E1" s="17"/>
    </row>
    <row r="2" spans="1:7" x14ac:dyDescent="0.35">
      <c r="A2" s="10" t="s">
        <v>40</v>
      </c>
      <c r="B2" s="9" t="s">
        <v>54</v>
      </c>
      <c r="D2" s="7" t="s">
        <v>40</v>
      </c>
      <c r="E2" t="s">
        <v>54</v>
      </c>
      <c r="F2"/>
    </row>
    <row r="3" spans="1:7" x14ac:dyDescent="0.35">
      <c r="A3" s="11" t="s">
        <v>42</v>
      </c>
      <c r="B3" s="12">
        <v>2015065.8199999998</v>
      </c>
      <c r="D3" s="8" t="s">
        <v>18</v>
      </c>
      <c r="E3" s="4">
        <v>4148365.3000000003</v>
      </c>
      <c r="F3"/>
    </row>
    <row r="4" spans="1:7" x14ac:dyDescent="0.35">
      <c r="A4" s="11" t="s">
        <v>43</v>
      </c>
      <c r="B4" s="12">
        <v>1160196.7899999998</v>
      </c>
      <c r="D4" s="8" t="s">
        <v>9</v>
      </c>
      <c r="E4" s="4">
        <v>4872841.0599999968</v>
      </c>
      <c r="F4"/>
    </row>
    <row r="5" spans="1:7" x14ac:dyDescent="0.35">
      <c r="A5" s="11" t="s">
        <v>44</v>
      </c>
      <c r="B5" s="12">
        <v>1628430.2999999996</v>
      </c>
      <c r="D5" s="8" t="s">
        <v>19</v>
      </c>
      <c r="E5" s="4">
        <v>3066743.2999999989</v>
      </c>
      <c r="F5"/>
    </row>
    <row r="6" spans="1:7" x14ac:dyDescent="0.35">
      <c r="A6" s="11" t="s">
        <v>45</v>
      </c>
      <c r="B6" s="12">
        <v>2027676.0700000003</v>
      </c>
      <c r="D6" s="8" t="s">
        <v>14</v>
      </c>
      <c r="E6" s="4">
        <v>4650782.4099999992</v>
      </c>
      <c r="F6"/>
    </row>
    <row r="7" spans="1:7" x14ac:dyDescent="0.35">
      <c r="A7" s="11" t="s">
        <v>46</v>
      </c>
      <c r="B7" s="12">
        <v>2436772.2200000007</v>
      </c>
      <c r="D7" s="8" t="s">
        <v>17</v>
      </c>
      <c r="E7" s="4">
        <v>5051102.7299999995</v>
      </c>
      <c r="F7"/>
    </row>
    <row r="8" spans="1:7" x14ac:dyDescent="0.35">
      <c r="A8" s="11" t="s">
        <v>47</v>
      </c>
      <c r="B8" s="12">
        <v>2243134.7700000005</v>
      </c>
      <c r="D8" s="8" t="s">
        <v>41</v>
      </c>
      <c r="E8" s="4">
        <v>21789834.799999997</v>
      </c>
      <c r="F8"/>
    </row>
    <row r="9" spans="1:7" x14ac:dyDescent="0.35">
      <c r="A9" s="11" t="s">
        <v>48</v>
      </c>
      <c r="B9" s="12">
        <v>1238425.6099999999</v>
      </c>
      <c r="D9" s="17" t="s">
        <v>57</v>
      </c>
      <c r="E9" s="17"/>
      <c r="F9"/>
    </row>
    <row r="10" spans="1:7" x14ac:dyDescent="0.35">
      <c r="A10" s="11" t="s">
        <v>49</v>
      </c>
      <c r="B10" s="12">
        <v>1573498.5499999998</v>
      </c>
      <c r="D10" s="7" t="s">
        <v>40</v>
      </c>
      <c r="E10" t="s">
        <v>54</v>
      </c>
      <c r="F10"/>
      <c r="G10"/>
    </row>
    <row r="11" spans="1:7" x14ac:dyDescent="0.35">
      <c r="A11" s="11" t="s">
        <v>50</v>
      </c>
      <c r="B11" s="12">
        <v>1331463.1900000002</v>
      </c>
      <c r="D11" s="8" t="s">
        <v>21</v>
      </c>
      <c r="E11" s="4">
        <v>6412776.4199999971</v>
      </c>
      <c r="F11"/>
      <c r="G11"/>
    </row>
    <row r="12" spans="1:7" x14ac:dyDescent="0.35">
      <c r="A12" s="11" t="s">
        <v>51</v>
      </c>
      <c r="B12" s="12">
        <v>2534925.7199999997</v>
      </c>
      <c r="D12" s="8" t="s">
        <v>22</v>
      </c>
      <c r="E12" s="4">
        <v>5066815.919999999</v>
      </c>
      <c r="F12"/>
      <c r="G12"/>
    </row>
    <row r="13" spans="1:7" x14ac:dyDescent="0.35">
      <c r="A13" s="11" t="s">
        <v>52</v>
      </c>
      <c r="B13" s="12">
        <v>1616341.6499999994</v>
      </c>
      <c r="D13" s="8" t="s">
        <v>15</v>
      </c>
      <c r="E13" s="4">
        <v>4396085.1199999973</v>
      </c>
      <c r="F13"/>
      <c r="G13"/>
    </row>
    <row r="14" spans="1:7" x14ac:dyDescent="0.35">
      <c r="A14" s="11" t="s">
        <v>53</v>
      </c>
      <c r="B14" s="12">
        <v>1983904.1100000003</v>
      </c>
      <c r="D14" s="8" t="s">
        <v>10</v>
      </c>
      <c r="E14" s="4">
        <v>5914157.3400000017</v>
      </c>
      <c r="F14"/>
      <c r="G14"/>
    </row>
    <row r="15" spans="1:7" x14ac:dyDescent="0.35">
      <c r="A15" s="11" t="s">
        <v>41</v>
      </c>
      <c r="B15" s="12">
        <v>21789834.799999997</v>
      </c>
      <c r="D15" s="8" t="s">
        <v>41</v>
      </c>
      <c r="E15" s="4">
        <v>21789834.799999997</v>
      </c>
      <c r="F15"/>
      <c r="G15"/>
    </row>
    <row r="16" spans="1:7" x14ac:dyDescent="0.35">
      <c r="D16"/>
      <c r="E16"/>
      <c r="F16"/>
    </row>
    <row r="17" spans="4:6" x14ac:dyDescent="0.35">
      <c r="D17"/>
      <c r="E17"/>
      <c r="F17"/>
    </row>
    <row r="18" spans="4:6" x14ac:dyDescent="0.35">
      <c r="D18"/>
      <c r="E18"/>
      <c r="F18"/>
    </row>
    <row r="19" spans="4:6" x14ac:dyDescent="0.35">
      <c r="D19"/>
      <c r="E19"/>
      <c r="F19"/>
    </row>
    <row r="20" spans="4:6" x14ac:dyDescent="0.35">
      <c r="D20"/>
      <c r="E20"/>
      <c r="F20"/>
    </row>
    <row r="21" spans="4:6" x14ac:dyDescent="0.35">
      <c r="D21"/>
      <c r="E21"/>
      <c r="F21"/>
    </row>
    <row r="22" spans="4:6" x14ac:dyDescent="0.35">
      <c r="D22"/>
      <c r="E22"/>
      <c r="F22"/>
    </row>
    <row r="23" spans="4:6" x14ac:dyDescent="0.35">
      <c r="D23"/>
      <c r="E23"/>
      <c r="F23"/>
    </row>
    <row r="24" spans="4:6" x14ac:dyDescent="0.35">
      <c r="D24"/>
      <c r="E24"/>
      <c r="F24"/>
    </row>
    <row r="25" spans="4:6" x14ac:dyDescent="0.35">
      <c r="D25"/>
      <c r="E25"/>
      <c r="F25"/>
    </row>
    <row r="26" spans="4:6" x14ac:dyDescent="0.35">
      <c r="D26"/>
      <c r="E26"/>
      <c r="F26"/>
    </row>
    <row r="27" spans="4:6" x14ac:dyDescent="0.35">
      <c r="D27"/>
      <c r="E27"/>
      <c r="F27"/>
    </row>
  </sheetData>
  <mergeCells count="3">
    <mergeCell ref="A1:B1"/>
    <mergeCell ref="D1:E1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raw_amazon_sales_data</vt:lpstr>
      <vt:lpstr>Analyzed_Amazon_Sales_data</vt:lpstr>
      <vt:lpstr>descriptive stats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Joe</dc:creator>
  <cp:lastModifiedBy>Elijah Joe</cp:lastModifiedBy>
  <dcterms:created xsi:type="dcterms:W3CDTF">2026-01-09T07:38:51Z</dcterms:created>
  <dcterms:modified xsi:type="dcterms:W3CDTF">2026-01-09T09:07:14Z</dcterms:modified>
</cp:coreProperties>
</file>